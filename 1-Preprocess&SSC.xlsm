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filterPrivacy="1" codeName="ThisWorkbook"/>
  <xr:revisionPtr revIDLastSave="0" documentId="13_ncr:1_{21BB12FF-F22A-48A8-92D2-8979C01D563C}" xr6:coauthVersionLast="37" xr6:coauthVersionMax="37" xr10:uidLastSave="{00000000-0000-0000-0000-000000000000}"/>
  <bookViews>
    <workbookView xWindow="0" yWindow="0" windowWidth="22260" windowHeight="12648" xr2:uid="{00000000-000D-0000-FFFF-FFFF00000000}"/>
  </bookViews>
  <sheets>
    <sheet name="Main" sheetId="1" r:id="rId1"/>
    <sheet name="SSC1" sheetId="3" r:id="rId2"/>
    <sheet name="DSIFT1" sheetId="2" r:id="rId3"/>
  </sheets>
  <functionGroups builtInGroupCount="19"/>
  <definedNames>
    <definedName name="_xlcn.WorksheetConnection_Table11" hidden="1">Table1[]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Table1"/>
        </x15:modelTables>
      </x15:dataModel>
    </ext>
  </extLst>
</workbook>
</file>

<file path=xl/calcChain.xml><?xml version="1.0" encoding="utf-8"?>
<calcChain xmlns="http://schemas.openxmlformats.org/spreadsheetml/2006/main">
  <c r="C174" i="1" l="1"/>
  <c r="H174" i="1"/>
  <c r="L174" i="1" s="1"/>
  <c r="C169" i="1"/>
  <c r="H169" i="1"/>
  <c r="L169" i="1" s="1"/>
  <c r="C170" i="1"/>
  <c r="H170" i="1"/>
  <c r="L170" i="1" s="1"/>
  <c r="C171" i="1"/>
  <c r="H171" i="1"/>
  <c r="L171" i="1" s="1"/>
  <c r="C172" i="1"/>
  <c r="H172" i="1"/>
  <c r="L172" i="1" s="1"/>
  <c r="C173" i="1"/>
  <c r="H173" i="1"/>
  <c r="L173" i="1" s="1"/>
  <c r="C163" i="1"/>
  <c r="H163" i="1"/>
  <c r="L163" i="1" s="1"/>
  <c r="C164" i="1"/>
  <c r="H164" i="1"/>
  <c r="L164" i="1" s="1"/>
  <c r="C165" i="1"/>
  <c r="H165" i="1"/>
  <c r="L165" i="1" s="1"/>
  <c r="C166" i="1"/>
  <c r="H166" i="1"/>
  <c r="L166" i="1" s="1"/>
  <c r="D1" i="3"/>
  <c r="E1" i="3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C2" i="3" a="1"/>
  <c r="C2" i="3" l="1"/>
  <c r="K2" i="3"/>
  <c r="S2" i="3"/>
  <c r="AA2" i="3"/>
  <c r="H3" i="3"/>
  <c r="P3" i="3"/>
  <c r="X3" i="3"/>
  <c r="E4" i="3"/>
  <c r="M4" i="3"/>
  <c r="U4" i="3"/>
  <c r="AC4" i="3"/>
  <c r="J5" i="3"/>
  <c r="R5" i="3"/>
  <c r="Z5" i="3"/>
  <c r="G6" i="3"/>
  <c r="O6" i="3"/>
  <c r="W6" i="3"/>
  <c r="D7" i="3"/>
  <c r="L7" i="3"/>
  <c r="T7" i="3"/>
  <c r="AB7" i="3"/>
  <c r="I8" i="3"/>
  <c r="Q8" i="3"/>
  <c r="Y8" i="3"/>
  <c r="F9" i="3"/>
  <c r="N9" i="3"/>
  <c r="V9" i="3"/>
  <c r="C10" i="3"/>
  <c r="K10" i="3"/>
  <c r="S10" i="3"/>
  <c r="AA10" i="3"/>
  <c r="H11" i="3"/>
  <c r="P11" i="3"/>
  <c r="X11" i="3"/>
  <c r="E12" i="3"/>
  <c r="M12" i="3"/>
  <c r="U12" i="3"/>
  <c r="AC12" i="3"/>
  <c r="J13" i="3"/>
  <c r="R13" i="3"/>
  <c r="Z13" i="3"/>
  <c r="G14" i="3"/>
  <c r="O14" i="3"/>
  <c r="W14" i="3"/>
  <c r="D15" i="3"/>
  <c r="L15" i="3"/>
  <c r="T15" i="3"/>
  <c r="AB15" i="3"/>
  <c r="I16" i="3"/>
  <c r="Q16" i="3"/>
  <c r="Y16" i="3"/>
  <c r="F17" i="3"/>
  <c r="N17" i="3"/>
  <c r="V17" i="3"/>
  <c r="C18" i="3"/>
  <c r="K18" i="3"/>
  <c r="S18" i="3"/>
  <c r="AA18" i="3"/>
  <c r="H19" i="3"/>
  <c r="P19" i="3"/>
  <c r="X19" i="3"/>
  <c r="E20" i="3"/>
  <c r="M20" i="3"/>
  <c r="U20" i="3"/>
  <c r="AC20" i="3"/>
  <c r="J21" i="3"/>
  <c r="R21" i="3"/>
  <c r="Z21" i="3"/>
  <c r="G22" i="3"/>
  <c r="O22" i="3"/>
  <c r="W22" i="3"/>
  <c r="D23" i="3"/>
  <c r="L23" i="3"/>
  <c r="T23" i="3"/>
  <c r="AB23" i="3"/>
  <c r="I24" i="3"/>
  <c r="Q24" i="3"/>
  <c r="Y24" i="3"/>
  <c r="F25" i="3"/>
  <c r="N25" i="3"/>
  <c r="V25" i="3"/>
  <c r="U23" i="3"/>
  <c r="R24" i="3"/>
  <c r="G25" i="3"/>
  <c r="W25" i="3"/>
  <c r="D2" i="3"/>
  <c r="L2" i="3"/>
  <c r="T2" i="3"/>
  <c r="AB2" i="3"/>
  <c r="I3" i="3"/>
  <c r="Q3" i="3"/>
  <c r="Y3" i="3"/>
  <c r="F4" i="3"/>
  <c r="N4" i="3"/>
  <c r="V4" i="3"/>
  <c r="C5" i="3"/>
  <c r="K5" i="3"/>
  <c r="S5" i="3"/>
  <c r="AA5" i="3"/>
  <c r="H6" i="3"/>
  <c r="P6" i="3"/>
  <c r="X6" i="3"/>
  <c r="E7" i="3"/>
  <c r="M7" i="3"/>
  <c r="U7" i="3"/>
  <c r="AC7" i="3"/>
  <c r="J8" i="3"/>
  <c r="R8" i="3"/>
  <c r="Z8" i="3"/>
  <c r="G9" i="3"/>
  <c r="O9" i="3"/>
  <c r="W9" i="3"/>
  <c r="D10" i="3"/>
  <c r="L10" i="3"/>
  <c r="T10" i="3"/>
  <c r="AB10" i="3"/>
  <c r="I11" i="3"/>
  <c r="Q11" i="3"/>
  <c r="Y11" i="3"/>
  <c r="F12" i="3"/>
  <c r="N12" i="3"/>
  <c r="V12" i="3"/>
  <c r="C13" i="3"/>
  <c r="K13" i="3"/>
  <c r="S13" i="3"/>
  <c r="AA13" i="3"/>
  <c r="H14" i="3"/>
  <c r="P14" i="3"/>
  <c r="X14" i="3"/>
  <c r="E15" i="3"/>
  <c r="M15" i="3"/>
  <c r="U15" i="3"/>
  <c r="AC15" i="3"/>
  <c r="J16" i="3"/>
  <c r="R16" i="3"/>
  <c r="Z16" i="3"/>
  <c r="G17" i="3"/>
  <c r="O17" i="3"/>
  <c r="W17" i="3"/>
  <c r="D18" i="3"/>
  <c r="L18" i="3"/>
  <c r="T18" i="3"/>
  <c r="AB18" i="3"/>
  <c r="I19" i="3"/>
  <c r="Q19" i="3"/>
  <c r="Y19" i="3"/>
  <c r="F20" i="3"/>
  <c r="N20" i="3"/>
  <c r="V20" i="3"/>
  <c r="C21" i="3"/>
  <c r="K21" i="3"/>
  <c r="S21" i="3"/>
  <c r="AA21" i="3"/>
  <c r="H22" i="3"/>
  <c r="P22" i="3"/>
  <c r="X22" i="3"/>
  <c r="E23" i="3"/>
  <c r="M23" i="3"/>
  <c r="AC23" i="3"/>
  <c r="J24" i="3"/>
  <c r="Z24" i="3"/>
  <c r="O25" i="3"/>
  <c r="E2" i="3"/>
  <c r="M2" i="3"/>
  <c r="U2" i="3"/>
  <c r="AC2" i="3"/>
  <c r="J3" i="3"/>
  <c r="R3" i="3"/>
  <c r="Z3" i="3"/>
  <c r="G4" i="3"/>
  <c r="O4" i="3"/>
  <c r="W4" i="3"/>
  <c r="D5" i="3"/>
  <c r="L5" i="3"/>
  <c r="T5" i="3"/>
  <c r="AB5" i="3"/>
  <c r="I6" i="3"/>
  <c r="Q6" i="3"/>
  <c r="Y6" i="3"/>
  <c r="F7" i="3"/>
  <c r="N7" i="3"/>
  <c r="V7" i="3"/>
  <c r="C8" i="3"/>
  <c r="K8" i="3"/>
  <c r="S8" i="3"/>
  <c r="AA8" i="3"/>
  <c r="H9" i="3"/>
  <c r="P9" i="3"/>
  <c r="X9" i="3"/>
  <c r="E10" i="3"/>
  <c r="M10" i="3"/>
  <c r="U10" i="3"/>
  <c r="AC10" i="3"/>
  <c r="J11" i="3"/>
  <c r="R11" i="3"/>
  <c r="Z11" i="3"/>
  <c r="G12" i="3"/>
  <c r="O12" i="3"/>
  <c r="W12" i="3"/>
  <c r="D13" i="3"/>
  <c r="L13" i="3"/>
  <c r="T13" i="3"/>
  <c r="AB13" i="3"/>
  <c r="I14" i="3"/>
  <c r="Q14" i="3"/>
  <c r="Y14" i="3"/>
  <c r="F15" i="3"/>
  <c r="N15" i="3"/>
  <c r="V15" i="3"/>
  <c r="C16" i="3"/>
  <c r="K16" i="3"/>
  <c r="S16" i="3"/>
  <c r="AA16" i="3"/>
  <c r="H17" i="3"/>
  <c r="P17" i="3"/>
  <c r="X17" i="3"/>
  <c r="E18" i="3"/>
  <c r="M18" i="3"/>
  <c r="U18" i="3"/>
  <c r="AC18" i="3"/>
  <c r="J19" i="3"/>
  <c r="R19" i="3"/>
  <c r="Z19" i="3"/>
  <c r="G20" i="3"/>
  <c r="O20" i="3"/>
  <c r="W20" i="3"/>
  <c r="D21" i="3"/>
  <c r="L21" i="3"/>
  <c r="T21" i="3"/>
  <c r="AB21" i="3"/>
  <c r="I22" i="3"/>
  <c r="Q22" i="3"/>
  <c r="Y22" i="3"/>
  <c r="F23" i="3"/>
  <c r="N23" i="3"/>
  <c r="V23" i="3"/>
  <c r="C24" i="3"/>
  <c r="K24" i="3"/>
  <c r="S24" i="3"/>
  <c r="AA24" i="3"/>
  <c r="F2" i="3"/>
  <c r="N2" i="3"/>
  <c r="V2" i="3"/>
  <c r="C3" i="3"/>
  <c r="K3" i="3"/>
  <c r="S3" i="3"/>
  <c r="AA3" i="3"/>
  <c r="H4" i="3"/>
  <c r="P4" i="3"/>
  <c r="X4" i="3"/>
  <c r="E5" i="3"/>
  <c r="M5" i="3"/>
  <c r="U5" i="3"/>
  <c r="AC5" i="3"/>
  <c r="J6" i="3"/>
  <c r="R6" i="3"/>
  <c r="Z6" i="3"/>
  <c r="G7" i="3"/>
  <c r="O7" i="3"/>
  <c r="W7" i="3"/>
  <c r="D8" i="3"/>
  <c r="L8" i="3"/>
  <c r="T8" i="3"/>
  <c r="AB8" i="3"/>
  <c r="I9" i="3"/>
  <c r="Q9" i="3"/>
  <c r="Y9" i="3"/>
  <c r="F10" i="3"/>
  <c r="N10" i="3"/>
  <c r="V10" i="3"/>
  <c r="C11" i="3"/>
  <c r="K11" i="3"/>
  <c r="S11" i="3"/>
  <c r="AA11" i="3"/>
  <c r="H12" i="3"/>
  <c r="P12" i="3"/>
  <c r="X12" i="3"/>
  <c r="E13" i="3"/>
  <c r="M13" i="3"/>
  <c r="U13" i="3"/>
  <c r="AC13" i="3"/>
  <c r="J14" i="3"/>
  <c r="R14" i="3"/>
  <c r="Z14" i="3"/>
  <c r="G15" i="3"/>
  <c r="O15" i="3"/>
  <c r="W15" i="3"/>
  <c r="D16" i="3"/>
  <c r="L16" i="3"/>
  <c r="T16" i="3"/>
  <c r="AB16" i="3"/>
  <c r="I17" i="3"/>
  <c r="Q17" i="3"/>
  <c r="Y17" i="3"/>
  <c r="F18" i="3"/>
  <c r="N18" i="3"/>
  <c r="V18" i="3"/>
  <c r="C19" i="3"/>
  <c r="K19" i="3"/>
  <c r="S19" i="3"/>
  <c r="AA19" i="3"/>
  <c r="H20" i="3"/>
  <c r="P20" i="3"/>
  <c r="X20" i="3"/>
  <c r="E21" i="3"/>
  <c r="M21" i="3"/>
  <c r="U21" i="3"/>
  <c r="AC21" i="3"/>
  <c r="J22" i="3"/>
  <c r="R22" i="3"/>
  <c r="Z22" i="3"/>
  <c r="G23" i="3"/>
  <c r="O23" i="3"/>
  <c r="W23" i="3"/>
  <c r="D24" i="3"/>
  <c r="L24" i="3"/>
  <c r="T24" i="3"/>
  <c r="AB24" i="3"/>
  <c r="I25" i="3"/>
  <c r="Q25" i="3"/>
  <c r="Y25" i="3"/>
  <c r="G2" i="3"/>
  <c r="W2" i="3"/>
  <c r="L3" i="3"/>
  <c r="AB3" i="3"/>
  <c r="Q4" i="3"/>
  <c r="F5" i="3"/>
  <c r="V5" i="3"/>
  <c r="K6" i="3"/>
  <c r="AA6" i="3"/>
  <c r="P7" i="3"/>
  <c r="E8" i="3"/>
  <c r="U8" i="3"/>
  <c r="J9" i="3"/>
  <c r="Z9" i="3"/>
  <c r="O10" i="3"/>
  <c r="D11" i="3"/>
  <c r="T11" i="3"/>
  <c r="I12" i="3"/>
  <c r="Y12" i="3"/>
  <c r="N13" i="3"/>
  <c r="C14" i="3"/>
  <c r="S14" i="3"/>
  <c r="H15" i="3"/>
  <c r="X15" i="3"/>
  <c r="M16" i="3"/>
  <c r="AC16" i="3"/>
  <c r="R17" i="3"/>
  <c r="G18" i="3"/>
  <c r="W18" i="3"/>
  <c r="L19" i="3"/>
  <c r="AB19" i="3"/>
  <c r="Q20" i="3"/>
  <c r="F21" i="3"/>
  <c r="V21" i="3"/>
  <c r="K22" i="3"/>
  <c r="AA22" i="3"/>
  <c r="P23" i="3"/>
  <c r="E24" i="3"/>
  <c r="U24" i="3"/>
  <c r="H25" i="3"/>
  <c r="T25" i="3"/>
  <c r="U25" i="3"/>
  <c r="X8" i="3"/>
  <c r="W11" i="3"/>
  <c r="F14" i="3"/>
  <c r="AA15" i="3"/>
  <c r="J18" i="3"/>
  <c r="D20" i="3"/>
  <c r="Y21" i="3"/>
  <c r="S23" i="3"/>
  <c r="Z25" i="3"/>
  <c r="D3" i="3"/>
  <c r="N5" i="3"/>
  <c r="H7" i="3"/>
  <c r="AC8" i="3"/>
  <c r="G10" i="3"/>
  <c r="V13" i="3"/>
  <c r="P15" i="3"/>
  <c r="D19" i="3"/>
  <c r="S22" i="3"/>
  <c r="AA25" i="3"/>
  <c r="J4" i="3"/>
  <c r="N8" i="3"/>
  <c r="R12" i="3"/>
  <c r="Q15" i="3"/>
  <c r="P18" i="3"/>
  <c r="O21" i="3"/>
  <c r="N24" i="3"/>
  <c r="H2" i="3"/>
  <c r="X2" i="3"/>
  <c r="M3" i="3"/>
  <c r="AC3" i="3"/>
  <c r="R4" i="3"/>
  <c r="G5" i="3"/>
  <c r="W5" i="3"/>
  <c r="L6" i="3"/>
  <c r="AB6" i="3"/>
  <c r="Q7" i="3"/>
  <c r="F8" i="3"/>
  <c r="V8" i="3"/>
  <c r="K9" i="3"/>
  <c r="AA9" i="3"/>
  <c r="P10" i="3"/>
  <c r="E11" i="3"/>
  <c r="U11" i="3"/>
  <c r="J12" i="3"/>
  <c r="Z12" i="3"/>
  <c r="O13" i="3"/>
  <c r="D14" i="3"/>
  <c r="T14" i="3"/>
  <c r="I15" i="3"/>
  <c r="Y15" i="3"/>
  <c r="N16" i="3"/>
  <c r="C17" i="3"/>
  <c r="S17" i="3"/>
  <c r="H18" i="3"/>
  <c r="X18" i="3"/>
  <c r="M19" i="3"/>
  <c r="AC19" i="3"/>
  <c r="R20" i="3"/>
  <c r="G21" i="3"/>
  <c r="W21" i="3"/>
  <c r="L22" i="3"/>
  <c r="AB22" i="3"/>
  <c r="Q23" i="3"/>
  <c r="F24" i="3"/>
  <c r="V24" i="3"/>
  <c r="J25" i="3"/>
  <c r="M9" i="3"/>
  <c r="Q13" i="3"/>
  <c r="K15" i="3"/>
  <c r="E17" i="3"/>
  <c r="O19" i="3"/>
  <c r="I21" i="3"/>
  <c r="N22" i="3"/>
  <c r="H24" i="3"/>
  <c r="O2" i="3"/>
  <c r="S6" i="3"/>
  <c r="R9" i="3"/>
  <c r="L11" i="3"/>
  <c r="AA14" i="3"/>
  <c r="U16" i="3"/>
  <c r="I20" i="3"/>
  <c r="M24" i="3"/>
  <c r="O5" i="3"/>
  <c r="S9" i="3"/>
  <c r="L14" i="3"/>
  <c r="E19" i="3"/>
  <c r="I23" i="3"/>
  <c r="I2" i="3"/>
  <c r="Y2" i="3"/>
  <c r="N3" i="3"/>
  <c r="C4" i="3"/>
  <c r="S4" i="3"/>
  <c r="H5" i="3"/>
  <c r="X5" i="3"/>
  <c r="M6" i="3"/>
  <c r="AC6" i="3"/>
  <c r="R7" i="3"/>
  <c r="G8" i="3"/>
  <c r="W8" i="3"/>
  <c r="L9" i="3"/>
  <c r="AB9" i="3"/>
  <c r="Q10" i="3"/>
  <c r="F11" i="3"/>
  <c r="V11" i="3"/>
  <c r="K12" i="3"/>
  <c r="AA12" i="3"/>
  <c r="P13" i="3"/>
  <c r="E14" i="3"/>
  <c r="U14" i="3"/>
  <c r="J15" i="3"/>
  <c r="Z15" i="3"/>
  <c r="O16" i="3"/>
  <c r="D17" i="3"/>
  <c r="T17" i="3"/>
  <c r="I18" i="3"/>
  <c r="Y18" i="3"/>
  <c r="N19" i="3"/>
  <c r="C20" i="3"/>
  <c r="S20" i="3"/>
  <c r="H21" i="3"/>
  <c r="X21" i="3"/>
  <c r="M22" i="3"/>
  <c r="AC22" i="3"/>
  <c r="R23" i="3"/>
  <c r="G24" i="3"/>
  <c r="W24" i="3"/>
  <c r="K25" i="3"/>
  <c r="X25" i="3"/>
  <c r="S7" i="3"/>
  <c r="L12" i="3"/>
  <c r="V14" i="3"/>
  <c r="P16" i="3"/>
  <c r="Z18" i="3"/>
  <c r="T20" i="3"/>
  <c r="C23" i="3"/>
  <c r="L25" i="3"/>
  <c r="T3" i="3"/>
  <c r="Y4" i="3"/>
  <c r="C6" i="3"/>
  <c r="X7" i="3"/>
  <c r="M8" i="3"/>
  <c r="W10" i="3"/>
  <c r="K14" i="3"/>
  <c r="E16" i="3"/>
  <c r="T19" i="3"/>
  <c r="H23" i="3"/>
  <c r="E3" i="3"/>
  <c r="T6" i="3"/>
  <c r="M11" i="3"/>
  <c r="AB14" i="3"/>
  <c r="AA17" i="3"/>
  <c r="D22" i="3"/>
  <c r="P25" i="3"/>
  <c r="J2" i="3"/>
  <c r="Z2" i="3"/>
  <c r="O3" i="3"/>
  <c r="D4" i="3"/>
  <c r="T4" i="3"/>
  <c r="I5" i="3"/>
  <c r="Y5" i="3"/>
  <c r="N6" i="3"/>
  <c r="C7" i="3"/>
  <c r="H8" i="3"/>
  <c r="AC9" i="3"/>
  <c r="R10" i="3"/>
  <c r="G11" i="3"/>
  <c r="AB12" i="3"/>
  <c r="U17" i="3"/>
  <c r="X24" i="3"/>
  <c r="I4" i="3"/>
  <c r="F13" i="3"/>
  <c r="J17" i="3"/>
  <c r="Y20" i="3"/>
  <c r="X23" i="3"/>
  <c r="U3" i="3"/>
  <c r="I7" i="3"/>
  <c r="H10" i="3"/>
  <c r="G13" i="3"/>
  <c r="V16" i="3"/>
  <c r="J20" i="3"/>
  <c r="Y23" i="3"/>
  <c r="Q2" i="3"/>
  <c r="F3" i="3"/>
  <c r="V3" i="3"/>
  <c r="K4" i="3"/>
  <c r="AA4" i="3"/>
  <c r="P5" i="3"/>
  <c r="E6" i="3"/>
  <c r="U6" i="3"/>
  <c r="J7" i="3"/>
  <c r="Z7" i="3"/>
  <c r="O8" i="3"/>
  <c r="D9" i="3"/>
  <c r="T9" i="3"/>
  <c r="I10" i="3"/>
  <c r="Y10" i="3"/>
  <c r="N11" i="3"/>
  <c r="C12" i="3"/>
  <c r="S12" i="3"/>
  <c r="H13" i="3"/>
  <c r="X13" i="3"/>
  <c r="M14" i="3"/>
  <c r="AC14" i="3"/>
  <c r="R15" i="3"/>
  <c r="G16" i="3"/>
  <c r="W16" i="3"/>
  <c r="L17" i="3"/>
  <c r="AB17" i="3"/>
  <c r="Q18" i="3"/>
  <c r="F19" i="3"/>
  <c r="V19" i="3"/>
  <c r="K20" i="3"/>
  <c r="AA20" i="3"/>
  <c r="P21" i="3"/>
  <c r="E22" i="3"/>
  <c r="U22" i="3"/>
  <c r="J23" i="3"/>
  <c r="Z23" i="3"/>
  <c r="O24" i="3"/>
  <c r="D25" i="3"/>
  <c r="R25" i="3"/>
  <c r="K23" i="3"/>
  <c r="E25" i="3"/>
  <c r="AB11" i="3"/>
  <c r="Z17" i="3"/>
  <c r="N21" i="3"/>
  <c r="AC24" i="3"/>
  <c r="P2" i="3"/>
  <c r="D6" i="3"/>
  <c r="C9" i="3"/>
  <c r="AC11" i="3"/>
  <c r="F16" i="3"/>
  <c r="U19" i="3"/>
  <c r="T22" i="3"/>
  <c r="AB25" i="3"/>
  <c r="R2" i="3"/>
  <c r="G3" i="3"/>
  <c r="W3" i="3"/>
  <c r="L4" i="3"/>
  <c r="AB4" i="3"/>
  <c r="Q5" i="3"/>
  <c r="F6" i="3"/>
  <c r="V6" i="3"/>
  <c r="K7" i="3"/>
  <c r="AA7" i="3"/>
  <c r="P8" i="3"/>
  <c r="E9" i="3"/>
  <c r="U9" i="3"/>
  <c r="J10" i="3"/>
  <c r="Z10" i="3"/>
  <c r="O11" i="3"/>
  <c r="D12" i="3"/>
  <c r="T12" i="3"/>
  <c r="I13" i="3"/>
  <c r="Y13" i="3"/>
  <c r="N14" i="3"/>
  <c r="C15" i="3"/>
  <c r="S15" i="3"/>
  <c r="H16" i="3"/>
  <c r="X16" i="3"/>
  <c r="M17" i="3"/>
  <c r="AC17" i="3"/>
  <c r="R18" i="3"/>
  <c r="G19" i="3"/>
  <c r="W19" i="3"/>
  <c r="L20" i="3"/>
  <c r="AB20" i="3"/>
  <c r="Q21" i="3"/>
  <c r="F22" i="3"/>
  <c r="V22" i="3"/>
  <c r="AA23" i="3"/>
  <c r="P24" i="3"/>
  <c r="S25" i="3"/>
  <c r="Q12" i="3"/>
  <c r="O18" i="3"/>
  <c r="C22" i="3"/>
  <c r="M25" i="3"/>
  <c r="Z4" i="3"/>
  <c r="Y7" i="3"/>
  <c r="X10" i="3"/>
  <c r="W13" i="3"/>
  <c r="K17" i="3"/>
  <c r="Z20" i="3"/>
  <c r="C25" i="3"/>
  <c r="AC25" i="3"/>
  <c r="C168" i="1"/>
  <c r="H168" i="1"/>
  <c r="L168" i="1" s="1"/>
  <c r="C175" i="1"/>
  <c r="H175" i="1"/>
  <c r="L175" i="1" s="1"/>
  <c r="C160" i="1"/>
  <c r="H160" i="1"/>
  <c r="L160" i="1" s="1"/>
  <c r="C161" i="1"/>
  <c r="H161" i="1"/>
  <c r="L161" i="1" s="1"/>
  <c r="C154" i="1"/>
  <c r="H154" i="1"/>
  <c r="L154" i="1" s="1"/>
  <c r="C155" i="1"/>
  <c r="H155" i="1"/>
  <c r="L155" i="1" s="1"/>
  <c r="C156" i="1"/>
  <c r="H156" i="1"/>
  <c r="L156" i="1" s="1"/>
  <c r="C157" i="1"/>
  <c r="H157" i="1"/>
  <c r="L157" i="1" s="1"/>
  <c r="C158" i="1"/>
  <c r="H158" i="1"/>
  <c r="L158" i="1" s="1"/>
  <c r="C159" i="1"/>
  <c r="H159" i="1"/>
  <c r="L159" i="1" s="1"/>
  <c r="C153" i="1"/>
  <c r="H153" i="1"/>
  <c r="L153" i="1" s="1"/>
  <c r="C162" i="1"/>
  <c r="H162" i="1"/>
  <c r="L162" i="1" s="1"/>
  <c r="C144" i="1"/>
  <c r="H144" i="1"/>
  <c r="L144" i="1" s="1"/>
  <c r="C145" i="1"/>
  <c r="H145" i="1"/>
  <c r="L145" i="1" s="1"/>
  <c r="C146" i="1"/>
  <c r="H146" i="1"/>
  <c r="L146" i="1" s="1"/>
  <c r="C147" i="1"/>
  <c r="H147" i="1"/>
  <c r="L147" i="1" s="1"/>
  <c r="C148" i="1"/>
  <c r="H148" i="1"/>
  <c r="L148" i="1" s="1"/>
  <c r="C149" i="1"/>
  <c r="H149" i="1"/>
  <c r="L149" i="1" s="1"/>
  <c r="C150" i="1"/>
  <c r="H150" i="1"/>
  <c r="L150" i="1" s="1"/>
  <c r="C151" i="1"/>
  <c r="H151" i="1"/>
  <c r="L151" i="1" s="1"/>
  <c r="C152" i="1"/>
  <c r="H152" i="1"/>
  <c r="L152" i="1" s="1"/>
  <c r="C138" i="1"/>
  <c r="H138" i="1"/>
  <c r="L138" i="1" s="1"/>
  <c r="C139" i="1"/>
  <c r="H139" i="1"/>
  <c r="L139" i="1" s="1"/>
  <c r="C140" i="1"/>
  <c r="H140" i="1"/>
  <c r="L140" i="1" s="1"/>
  <c r="C141" i="1"/>
  <c r="H141" i="1"/>
  <c r="L141" i="1" s="1"/>
  <c r="C142" i="1"/>
  <c r="H142" i="1"/>
  <c r="L142" i="1" s="1"/>
  <c r="C143" i="1"/>
  <c r="H143" i="1"/>
  <c r="L143" i="1" s="1"/>
  <c r="C132" i="1"/>
  <c r="H132" i="1"/>
  <c r="L132" i="1" s="1"/>
  <c r="C133" i="1"/>
  <c r="H133" i="1"/>
  <c r="L133" i="1" s="1"/>
  <c r="C134" i="1"/>
  <c r="H134" i="1"/>
  <c r="L134" i="1" s="1"/>
  <c r="C135" i="1"/>
  <c r="H135" i="1"/>
  <c r="L135" i="1" s="1"/>
  <c r="C136" i="1"/>
  <c r="H136" i="1"/>
  <c r="L136" i="1" s="1"/>
  <c r="C137" i="1"/>
  <c r="H137" i="1"/>
  <c r="L137" i="1" s="1"/>
  <c r="C167" i="1"/>
  <c r="H167" i="1"/>
  <c r="L167" i="1" s="1"/>
  <c r="C129" i="1" l="1"/>
  <c r="H129" i="1"/>
  <c r="L129" i="1" s="1"/>
  <c r="C130" i="1"/>
  <c r="H130" i="1"/>
  <c r="L130" i="1" s="1"/>
  <c r="C131" i="1"/>
  <c r="H131" i="1"/>
  <c r="L131" i="1" s="1"/>
  <c r="C176" i="1"/>
  <c r="H176" i="1"/>
  <c r="L176" i="1" s="1"/>
  <c r="H128" i="1"/>
  <c r="L128" i="1" s="1"/>
  <c r="C128" i="1"/>
  <c r="C118" i="1" l="1"/>
  <c r="H118" i="1"/>
  <c r="L118" i="1" s="1"/>
  <c r="C119" i="1"/>
  <c r="H119" i="1"/>
  <c r="L119" i="1" s="1"/>
  <c r="C120" i="1"/>
  <c r="H120" i="1"/>
  <c r="L120" i="1" s="1"/>
  <c r="C121" i="1"/>
  <c r="H121" i="1"/>
  <c r="L121" i="1" s="1"/>
  <c r="C122" i="1"/>
  <c r="H122" i="1"/>
  <c r="L122" i="1" s="1"/>
  <c r="C123" i="1"/>
  <c r="H123" i="1"/>
  <c r="L123" i="1" s="1"/>
  <c r="C124" i="1"/>
  <c r="H124" i="1"/>
  <c r="L124" i="1" s="1"/>
  <c r="C125" i="1"/>
  <c r="H125" i="1"/>
  <c r="L125" i="1" s="1"/>
  <c r="C126" i="1"/>
  <c r="H126" i="1"/>
  <c r="L126" i="1" s="1"/>
  <c r="C127" i="1"/>
  <c r="H127" i="1"/>
  <c r="L127" i="1" s="1"/>
  <c r="C106" i="1" l="1"/>
  <c r="H106" i="1"/>
  <c r="L106" i="1" s="1"/>
  <c r="C107" i="1"/>
  <c r="H107" i="1"/>
  <c r="L107" i="1" s="1"/>
  <c r="C108" i="1"/>
  <c r="H108" i="1"/>
  <c r="L108" i="1" s="1"/>
  <c r="C109" i="1"/>
  <c r="H109" i="1"/>
  <c r="L109" i="1" s="1"/>
  <c r="C110" i="1"/>
  <c r="H110" i="1"/>
  <c r="L110" i="1" s="1"/>
  <c r="C111" i="1"/>
  <c r="H111" i="1"/>
  <c r="L111" i="1" s="1"/>
  <c r="C112" i="1"/>
  <c r="H112" i="1"/>
  <c r="L112" i="1" s="1"/>
  <c r="C113" i="1"/>
  <c r="H113" i="1"/>
  <c r="L113" i="1" s="1"/>
  <c r="C114" i="1"/>
  <c r="H114" i="1"/>
  <c r="L114" i="1" s="1"/>
  <c r="C115" i="1"/>
  <c r="H115" i="1"/>
  <c r="L115" i="1" s="1"/>
  <c r="C116" i="1"/>
  <c r="H116" i="1"/>
  <c r="L116" i="1" s="1"/>
  <c r="C117" i="1"/>
  <c r="H117" i="1"/>
  <c r="L117" i="1" s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" i="3"/>
  <c r="C92" i="1"/>
  <c r="H92" i="1"/>
  <c r="L92" i="1" s="1"/>
  <c r="C93" i="1"/>
  <c r="H93" i="1"/>
  <c r="L93" i="1" s="1"/>
  <c r="C94" i="1"/>
  <c r="H94" i="1"/>
  <c r="L94" i="1" s="1"/>
  <c r="C95" i="1"/>
  <c r="H95" i="1"/>
  <c r="L95" i="1" s="1"/>
  <c r="C96" i="1"/>
  <c r="H96" i="1"/>
  <c r="L96" i="1" s="1"/>
  <c r="C97" i="1"/>
  <c r="H97" i="1"/>
  <c r="L97" i="1" s="1"/>
  <c r="C98" i="1"/>
  <c r="H98" i="1"/>
  <c r="L98" i="1" s="1"/>
  <c r="C99" i="1"/>
  <c r="H99" i="1"/>
  <c r="L99" i="1" s="1"/>
  <c r="C100" i="1"/>
  <c r="H100" i="1"/>
  <c r="L100" i="1" s="1"/>
  <c r="C101" i="1"/>
  <c r="H101" i="1"/>
  <c r="L101" i="1" s="1"/>
  <c r="C102" i="1"/>
  <c r="H102" i="1"/>
  <c r="L102" i="1" s="1"/>
  <c r="C103" i="1"/>
  <c r="H103" i="1"/>
  <c r="L103" i="1" s="1"/>
  <c r="C104" i="1"/>
  <c r="H104" i="1"/>
  <c r="L104" i="1" s="1"/>
  <c r="C105" i="1"/>
  <c r="H105" i="1"/>
  <c r="L105" i="1" s="1"/>
  <c r="B2" i="2" a="1"/>
  <c r="I2" i="2" l="1"/>
  <c r="Q2" i="2"/>
  <c r="H3" i="2"/>
  <c r="P3" i="2"/>
  <c r="G4" i="2"/>
  <c r="O4" i="2"/>
  <c r="F5" i="2"/>
  <c r="N5" i="2"/>
  <c r="E6" i="2"/>
  <c r="M6" i="2"/>
  <c r="D7" i="2"/>
  <c r="L7" i="2"/>
  <c r="C8" i="2"/>
  <c r="K8" i="2"/>
  <c r="B9" i="2"/>
  <c r="J9" i="2"/>
  <c r="R9" i="2"/>
  <c r="I10" i="2"/>
  <c r="Q10" i="2"/>
  <c r="H11" i="2"/>
  <c r="P11" i="2"/>
  <c r="G12" i="2"/>
  <c r="O12" i="2"/>
  <c r="F13" i="2"/>
  <c r="N13" i="2"/>
  <c r="E14" i="2"/>
  <c r="M14" i="2"/>
  <c r="D15" i="2"/>
  <c r="L15" i="2"/>
  <c r="C16" i="2"/>
  <c r="K16" i="2"/>
  <c r="B17" i="2"/>
  <c r="J17" i="2"/>
  <c r="R17" i="2"/>
  <c r="I18" i="2"/>
  <c r="Q18" i="2"/>
  <c r="P10" i="2"/>
  <c r="C15" i="2"/>
  <c r="B2" i="2"/>
  <c r="J2" i="2"/>
  <c r="R2" i="2"/>
  <c r="I3" i="2"/>
  <c r="Q3" i="2"/>
  <c r="H4" i="2"/>
  <c r="P4" i="2"/>
  <c r="G5" i="2"/>
  <c r="O5" i="2"/>
  <c r="F6" i="2"/>
  <c r="N6" i="2"/>
  <c r="E7" i="2"/>
  <c r="M7" i="2"/>
  <c r="D8" i="2"/>
  <c r="L8" i="2"/>
  <c r="C9" i="2"/>
  <c r="K9" i="2"/>
  <c r="B10" i="2"/>
  <c r="J10" i="2"/>
  <c r="R10" i="2"/>
  <c r="I11" i="2"/>
  <c r="Q11" i="2"/>
  <c r="H12" i="2"/>
  <c r="P12" i="2"/>
  <c r="G13" i="2"/>
  <c r="O13" i="2"/>
  <c r="F14" i="2"/>
  <c r="N14" i="2"/>
  <c r="E15" i="2"/>
  <c r="M15" i="2"/>
  <c r="D16" i="2"/>
  <c r="L16" i="2"/>
  <c r="C17" i="2"/>
  <c r="K17" i="2"/>
  <c r="B18" i="2"/>
  <c r="J18" i="2"/>
  <c r="R18" i="2"/>
  <c r="G14" i="2"/>
  <c r="N15" i="2"/>
  <c r="M16" i="2"/>
  <c r="L17" i="2"/>
  <c r="K18" i="2"/>
  <c r="G15" i="2"/>
  <c r="F16" i="2"/>
  <c r="N16" i="2"/>
  <c r="M17" i="2"/>
  <c r="L18" i="2"/>
  <c r="M2" i="2"/>
  <c r="L3" i="2"/>
  <c r="C4" i="2"/>
  <c r="H2" i="2"/>
  <c r="N4" i="2"/>
  <c r="L6" i="2"/>
  <c r="B8" i="2"/>
  <c r="I9" i="2"/>
  <c r="G11" i="2"/>
  <c r="N12" i="2"/>
  <c r="L14" i="2"/>
  <c r="J16" i="2"/>
  <c r="I17" i="2"/>
  <c r="C2" i="2"/>
  <c r="K2" i="2"/>
  <c r="B3" i="2"/>
  <c r="J3" i="2"/>
  <c r="R3" i="2"/>
  <c r="I4" i="2"/>
  <c r="Q4" i="2"/>
  <c r="H5" i="2"/>
  <c r="P5" i="2"/>
  <c r="G6" i="2"/>
  <c r="O6" i="2"/>
  <c r="F7" i="2"/>
  <c r="N7" i="2"/>
  <c r="E8" i="2"/>
  <c r="M8" i="2"/>
  <c r="D9" i="2"/>
  <c r="L9" i="2"/>
  <c r="C10" i="2"/>
  <c r="K10" i="2"/>
  <c r="B11" i="2"/>
  <c r="J11" i="2"/>
  <c r="R11" i="2"/>
  <c r="I12" i="2"/>
  <c r="Q12" i="2"/>
  <c r="H13" i="2"/>
  <c r="P13" i="2"/>
  <c r="O14" i="2"/>
  <c r="F15" i="2"/>
  <c r="E16" i="2"/>
  <c r="D17" i="2"/>
  <c r="C18" i="2"/>
  <c r="O15" i="2"/>
  <c r="E17" i="2"/>
  <c r="D18" i="2"/>
  <c r="D3" i="2"/>
  <c r="K4" i="2"/>
  <c r="B5" i="2"/>
  <c r="J5" i="2"/>
  <c r="R5" i="2"/>
  <c r="I6" i="2"/>
  <c r="Q6" i="2"/>
  <c r="H7" i="2"/>
  <c r="P7" i="2"/>
  <c r="G8" i="2"/>
  <c r="O8" i="2"/>
  <c r="F9" i="2"/>
  <c r="N9" i="2"/>
  <c r="E10" i="2"/>
  <c r="M10" i="2"/>
  <c r="D11" i="2"/>
  <c r="L11" i="2"/>
  <c r="C12" i="2"/>
  <c r="M13" i="2"/>
  <c r="R16" i="2"/>
  <c r="H18" i="2"/>
  <c r="D2" i="2"/>
  <c r="L2" i="2"/>
  <c r="C3" i="2"/>
  <c r="K3" i="2"/>
  <c r="B4" i="2"/>
  <c r="J4" i="2"/>
  <c r="R4" i="2"/>
  <c r="I5" i="2"/>
  <c r="Q5" i="2"/>
  <c r="H6" i="2"/>
  <c r="P6" i="2"/>
  <c r="G7" i="2"/>
  <c r="O7" i="2"/>
  <c r="F8" i="2"/>
  <c r="N8" i="2"/>
  <c r="E9" i="2"/>
  <c r="M9" i="2"/>
  <c r="D10" i="2"/>
  <c r="L10" i="2"/>
  <c r="C11" i="2"/>
  <c r="K11" i="2"/>
  <c r="B12" i="2"/>
  <c r="J12" i="2"/>
  <c r="R12" i="2"/>
  <c r="I13" i="2"/>
  <c r="Q13" i="2"/>
  <c r="H14" i="2"/>
  <c r="P14" i="2"/>
  <c r="B13" i="2"/>
  <c r="R13" i="2"/>
  <c r="Q14" i="2"/>
  <c r="H15" i="2"/>
  <c r="G16" i="2"/>
  <c r="O16" i="2"/>
  <c r="N17" i="2"/>
  <c r="M18" i="2"/>
  <c r="F11" i="2"/>
  <c r="E12" i="2"/>
  <c r="D13" i="2"/>
  <c r="C14" i="2"/>
  <c r="B15" i="2"/>
  <c r="I16" i="2"/>
  <c r="P17" i="2"/>
  <c r="G3" i="2"/>
  <c r="D6" i="2"/>
  <c r="J8" i="2"/>
  <c r="H10" i="2"/>
  <c r="F12" i="2"/>
  <c r="K15" i="2"/>
  <c r="E2" i="2"/>
  <c r="K12" i="2"/>
  <c r="J13" i="2"/>
  <c r="I14" i="2"/>
  <c r="P15" i="2"/>
  <c r="F17" i="2"/>
  <c r="E18" i="2"/>
  <c r="N11" i="2"/>
  <c r="M12" i="2"/>
  <c r="K14" i="2"/>
  <c r="R15" i="2"/>
  <c r="H17" i="2"/>
  <c r="O18" i="2"/>
  <c r="O3" i="2"/>
  <c r="E5" i="2"/>
  <c r="C7" i="2"/>
  <c r="R8" i="2"/>
  <c r="O11" i="2"/>
  <c r="D14" i="2"/>
  <c r="F2" i="2"/>
  <c r="N2" i="2"/>
  <c r="E3" i="2"/>
  <c r="M3" i="2"/>
  <c r="D4" i="2"/>
  <c r="L4" i="2"/>
  <c r="C5" i="2"/>
  <c r="K5" i="2"/>
  <c r="B6" i="2"/>
  <c r="J6" i="2"/>
  <c r="R6" i="2"/>
  <c r="I7" i="2"/>
  <c r="Q7" i="2"/>
  <c r="H8" i="2"/>
  <c r="P8" i="2"/>
  <c r="G9" i="2"/>
  <c r="O9" i="2"/>
  <c r="F10" i="2"/>
  <c r="N10" i="2"/>
  <c r="E11" i="2"/>
  <c r="M11" i="2"/>
  <c r="D12" i="2"/>
  <c r="L12" i="2"/>
  <c r="C13" i="2"/>
  <c r="K13" i="2"/>
  <c r="B14" i="2"/>
  <c r="J14" i="2"/>
  <c r="R14" i="2"/>
  <c r="I15" i="2"/>
  <c r="Q15" i="2"/>
  <c r="H16" i="2"/>
  <c r="P16" i="2"/>
  <c r="G17" i="2"/>
  <c r="O17" i="2"/>
  <c r="F18" i="2"/>
  <c r="N18" i="2"/>
  <c r="G2" i="2"/>
  <c r="O2" i="2"/>
  <c r="F3" i="2"/>
  <c r="N3" i="2"/>
  <c r="E4" i="2"/>
  <c r="M4" i="2"/>
  <c r="D5" i="2"/>
  <c r="L5" i="2"/>
  <c r="C6" i="2"/>
  <c r="K6" i="2"/>
  <c r="B7" i="2"/>
  <c r="J7" i="2"/>
  <c r="R7" i="2"/>
  <c r="I8" i="2"/>
  <c r="Q8" i="2"/>
  <c r="H9" i="2"/>
  <c r="P9" i="2"/>
  <c r="G10" i="2"/>
  <c r="O10" i="2"/>
  <c r="L13" i="2"/>
  <c r="J15" i="2"/>
  <c r="Q16" i="2"/>
  <c r="G18" i="2"/>
  <c r="P2" i="2"/>
  <c r="F4" i="2"/>
  <c r="M5" i="2"/>
  <c r="K7" i="2"/>
  <c r="Q9" i="2"/>
  <c r="E13" i="2"/>
  <c r="B16" i="2"/>
  <c r="Q17" i="2"/>
  <c r="P18" i="2"/>
  <c r="C80" i="1" l="1"/>
  <c r="H80" i="1"/>
  <c r="L80" i="1" s="1"/>
  <c r="C81" i="1"/>
  <c r="H81" i="1"/>
  <c r="L81" i="1" s="1"/>
  <c r="C82" i="1"/>
  <c r="H82" i="1"/>
  <c r="L82" i="1" s="1"/>
  <c r="C83" i="1"/>
  <c r="H83" i="1"/>
  <c r="L83" i="1" s="1"/>
  <c r="C84" i="1"/>
  <c r="H84" i="1"/>
  <c r="L84" i="1" s="1"/>
  <c r="C85" i="1"/>
  <c r="H85" i="1"/>
  <c r="L85" i="1" s="1"/>
  <c r="C86" i="1"/>
  <c r="H86" i="1"/>
  <c r="L86" i="1" s="1"/>
  <c r="C87" i="1"/>
  <c r="H87" i="1"/>
  <c r="L87" i="1" s="1"/>
  <c r="C88" i="1"/>
  <c r="H88" i="1"/>
  <c r="L88" i="1" s="1"/>
  <c r="C89" i="1"/>
  <c r="H89" i="1"/>
  <c r="L89" i="1" s="1"/>
  <c r="C90" i="1"/>
  <c r="H90" i="1"/>
  <c r="L90" i="1" s="1"/>
  <c r="C91" i="1"/>
  <c r="H91" i="1"/>
  <c r="L91" i="1" s="1"/>
  <c r="C69" i="1"/>
  <c r="H69" i="1"/>
  <c r="L69" i="1" s="1"/>
  <c r="C70" i="1"/>
  <c r="H70" i="1"/>
  <c r="L70" i="1" s="1"/>
  <c r="C71" i="1"/>
  <c r="H71" i="1"/>
  <c r="L71" i="1" s="1"/>
  <c r="C72" i="1"/>
  <c r="H72" i="1"/>
  <c r="L72" i="1" s="1"/>
  <c r="C73" i="1"/>
  <c r="H73" i="1"/>
  <c r="L73" i="1" s="1"/>
  <c r="C74" i="1"/>
  <c r="H74" i="1"/>
  <c r="L74" i="1" s="1"/>
  <c r="C75" i="1"/>
  <c r="H75" i="1"/>
  <c r="L75" i="1" s="1"/>
  <c r="C76" i="1"/>
  <c r="H76" i="1"/>
  <c r="L76" i="1" s="1"/>
  <c r="C77" i="1"/>
  <c r="H77" i="1"/>
  <c r="L77" i="1" s="1"/>
  <c r="C78" i="1"/>
  <c r="H78" i="1"/>
  <c r="L78" i="1" s="1"/>
  <c r="C79" i="1"/>
  <c r="H79" i="1"/>
  <c r="L79" i="1" s="1"/>
  <c r="C66" i="1"/>
  <c r="H66" i="1"/>
  <c r="L66" i="1" s="1"/>
  <c r="C68" i="1"/>
  <c r="H68" i="1"/>
  <c r="L68" i="1" s="1"/>
  <c r="C67" i="1"/>
  <c r="H67" i="1"/>
  <c r="L67" i="1" s="1"/>
  <c r="C19" i="1" l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H61" i="1" l="1"/>
  <c r="L61" i="1" s="1"/>
  <c r="H62" i="1"/>
  <c r="L62" i="1" s="1"/>
  <c r="H63" i="1"/>
  <c r="L63" i="1" s="1"/>
  <c r="H64" i="1"/>
  <c r="L64" i="1" s="1"/>
  <c r="H65" i="1"/>
  <c r="L65" i="1" s="1"/>
  <c r="H51" i="1"/>
  <c r="L51" i="1" s="1"/>
  <c r="H52" i="1"/>
  <c r="L52" i="1" s="1"/>
  <c r="H53" i="1"/>
  <c r="L53" i="1" s="1"/>
  <c r="H54" i="1"/>
  <c r="L54" i="1" s="1"/>
  <c r="H55" i="1"/>
  <c r="L55" i="1" s="1"/>
  <c r="H56" i="1"/>
  <c r="L56" i="1" s="1"/>
  <c r="H57" i="1"/>
  <c r="L57" i="1" s="1"/>
  <c r="H58" i="1"/>
  <c r="L58" i="1" s="1"/>
  <c r="H59" i="1"/>
  <c r="L59" i="1" s="1"/>
  <c r="H60" i="1"/>
  <c r="L60" i="1" s="1"/>
  <c r="H45" i="1" l="1"/>
  <c r="L45" i="1" s="1"/>
  <c r="H46" i="1"/>
  <c r="L46" i="1" s="1"/>
  <c r="H47" i="1"/>
  <c r="L47" i="1" s="1"/>
  <c r="H48" i="1"/>
  <c r="L48" i="1" s="1"/>
  <c r="H49" i="1"/>
  <c r="L49" i="1" s="1"/>
  <c r="H50" i="1"/>
  <c r="L50" i="1" s="1"/>
  <c r="H34" i="1"/>
  <c r="L34" i="1" s="1"/>
  <c r="H35" i="1"/>
  <c r="L35" i="1" s="1"/>
  <c r="H36" i="1"/>
  <c r="L36" i="1" s="1"/>
  <c r="H37" i="1"/>
  <c r="L37" i="1" s="1"/>
  <c r="H38" i="1"/>
  <c r="L38" i="1" s="1"/>
  <c r="H39" i="1"/>
  <c r="L39" i="1" s="1"/>
  <c r="H40" i="1"/>
  <c r="L40" i="1" s="1"/>
  <c r="H41" i="1"/>
  <c r="L41" i="1" s="1"/>
  <c r="H42" i="1"/>
  <c r="L42" i="1" s="1"/>
  <c r="H43" i="1"/>
  <c r="L43" i="1" s="1"/>
  <c r="H44" i="1"/>
  <c r="L44" i="1" s="1"/>
  <c r="H33" i="1"/>
  <c r="L33" i="1" s="1"/>
  <c r="H32" i="1"/>
  <c r="L32" i="1" s="1"/>
  <c r="H31" i="1"/>
  <c r="L31" i="1" s="1"/>
  <c r="H30" i="1"/>
  <c r="L30" i="1" s="1"/>
  <c r="H29" i="1"/>
  <c r="L29" i="1" s="1"/>
  <c r="H28" i="1"/>
  <c r="L28" i="1" s="1"/>
  <c r="H27" i="1" l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L18" i="1" l="1"/>
  <c r="C18" i="1"/>
  <c r="C17" i="1"/>
  <c r="L16" i="1"/>
  <c r="C16" i="1"/>
  <c r="L15" i="1"/>
  <c r="C15" i="1"/>
  <c r="L14" i="1"/>
  <c r="C14" i="1"/>
  <c r="L13" i="1"/>
  <c r="C13" i="1"/>
  <c r="C4" i="1"/>
  <c r="C5" i="1"/>
  <c r="C6" i="1"/>
  <c r="C7" i="1"/>
  <c r="C8" i="1"/>
  <c r="C9" i="1"/>
  <c r="C10" i="1"/>
  <c r="C11" i="1"/>
  <c r="C12" i="1"/>
  <c r="C3" i="1"/>
  <c r="L12" i="1"/>
  <c r="L17" i="1"/>
  <c r="L19" i="1"/>
  <c r="L20" i="1"/>
  <c r="L21" i="1"/>
  <c r="L22" i="1"/>
  <c r="L23" i="1"/>
  <c r="L24" i="1"/>
  <c r="L25" i="1"/>
  <c r="L26" i="1"/>
  <c r="L27" i="1"/>
  <c r="L11" i="1"/>
  <c r="L10" i="1"/>
  <c r="L9" i="1"/>
  <c r="L8" i="1"/>
  <c r="L7" i="1"/>
  <c r="L6" i="1"/>
  <c r="L5" i="1"/>
  <c r="L3" i="1"/>
  <c r="L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2501F-21AA-4602-9ECA-B954C8E47634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9D7B9D9-4C58-48E8-9577-0AA8768E1F7D}" name="WorksheetConnection_Table1" type="102" refreshedVersion="6" minRefreshableVersion="5">
    <extLst>
      <ext xmlns:x15="http://schemas.microsoft.com/office/spreadsheetml/2010/11/main" uri="{DE250136-89BD-433C-8126-D09CA5730AF9}">
        <x15:connection id="Table1">
          <x15:rangePr sourceName="_xlcn.WorksheetConnection_Table11"/>
        </x15:connection>
      </ext>
    </extLst>
  </connection>
</connections>
</file>

<file path=xl/sharedStrings.xml><?xml version="1.0" encoding="utf-8"?>
<sst xmlns="http://schemas.openxmlformats.org/spreadsheetml/2006/main" count="1030" uniqueCount="61">
  <si>
    <t>gridSpacing</t>
  </si>
  <si>
    <t>patchSize</t>
  </si>
  <si>
    <t>Features</t>
  </si>
  <si>
    <t>DSIFT</t>
  </si>
  <si>
    <t>numImages</t>
  </si>
  <si>
    <t>whiten</t>
  </si>
  <si>
    <t>svd_solver</t>
  </si>
  <si>
    <t>auto</t>
  </si>
  <si>
    <t>Features2</t>
  </si>
  <si>
    <t>PCA</t>
  </si>
  <si>
    <t>Accuracy</t>
  </si>
  <si>
    <t>NMI</t>
  </si>
  <si>
    <t>ARI</t>
  </si>
  <si>
    <t>components</t>
  </si>
  <si>
    <t>truncate_num</t>
  </si>
  <si>
    <t>per_person</t>
  </si>
  <si>
    <t>None</t>
  </si>
  <si>
    <t>-</t>
  </si>
  <si>
    <t>full</t>
  </si>
  <si>
    <t>arpack</t>
  </si>
  <si>
    <t>radomized</t>
  </si>
  <si>
    <t>SSC Performance</t>
  </si>
  <si>
    <t>sc never finishes</t>
  </si>
  <si>
    <t>SC Performance</t>
  </si>
  <si>
    <t>Accuracy2</t>
  </si>
  <si>
    <t>NMI2</t>
  </si>
  <si>
    <t>ARI2</t>
  </si>
  <si>
    <t>Smoothness:</t>
  </si>
  <si>
    <t>https://mathformeremortals.wordpress.com/2013/09/02/regularizedata3d-the-excel-spreadsheet-function-to-regularize-3d-data-to-a-smooth-surface/</t>
  </si>
  <si>
    <t>Input (168x192)</t>
  </si>
  <si>
    <t>&lt;- At this point I discovered that I was using the wrong clustering mehod (SC instead of SSC) for evaluation of performance. I went back and reevaluated a few points, then continued while only using SSC.</t>
  </si>
  <si>
    <t>&lt;- At this point I found a more detailed rewrite of the paper, which revealed several important details, for example, that patchSize=12 and that the original grayscale data should be used along with DSIFT features</t>
  </si>
  <si>
    <r>
      <t xml:space="preserve">DSIFT </t>
    </r>
    <r>
      <rPr>
        <b/>
        <sz val="11"/>
        <color theme="1"/>
        <rFont val="Calibri"/>
        <family val="2"/>
        <scheme val="minor"/>
      </rPr>
      <t>with no concat</t>
    </r>
  </si>
  <si>
    <t>concat</t>
  </si>
  <si>
    <t>no</t>
  </si>
  <si>
    <t>yes</t>
  </si>
  <si>
    <t>randomized</t>
  </si>
  <si>
    <t>ratio</t>
  </si>
  <si>
    <t>1/0</t>
  </si>
  <si>
    <t>1/1</t>
  </si>
  <si>
    <t>0/1</t>
  </si>
  <si>
    <t>2/1</t>
  </si>
  <si>
    <t>3/1</t>
  </si>
  <si>
    <t>4/1</t>
  </si>
  <si>
    <t>6/1</t>
  </si>
  <si>
    <t>10/1</t>
  </si>
  <si>
    <t>affine</t>
  </si>
  <si>
    <t>alpha</t>
  </si>
  <si>
    <t>outlier</t>
  </si>
  <si>
    <t>iter</t>
  </si>
  <si>
    <t>err1</t>
  </si>
  <si>
    <t>err2</t>
  </si>
  <si>
    <t>?</t>
  </si>
  <si>
    <t>err3</t>
  </si>
  <si>
    <t>Affinity</t>
  </si>
  <si>
    <t>&lt;times in purple were performed with another algorithm in the background</t>
  </si>
  <si>
    <t>[200, 150, 200], 0.0001, 0.001, 0.00097, 10000</t>
  </si>
  <si>
    <t>Final SSC Perofrmance:</t>
  </si>
  <si>
    <t>Final SAE Performance:</t>
  </si>
  <si>
    <t>[20, 6]</t>
  </si>
  <si>
    <t>loss: 0.104873284697532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</si>
</sst>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theme="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66FF33"/>
        <bgColor theme="4"/>
      </patternFill>
    </fill>
    <fill>
      <patternFill patternType="solid">
        <fgColor rgb="FF66FF33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DFECF7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rgb="FFE7F6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A42CA7"/>
        <bgColor indexed="64"/>
      </patternFill>
    </fill>
    <fill>
      <patternFill patternType="solid">
        <fgColor rgb="FFE4A2E6"/>
        <bgColor indexed="64"/>
      </patternFill>
    </fill>
    <fill>
      <patternFill patternType="solid">
        <fgColor rgb="FFF3D4F4"/>
        <bgColor indexed="64"/>
      </patternFill>
    </fill>
  </fills>
  <borders count="21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ck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3" borderId="0" xfId="0" applyFill="1"/>
    <xf numFmtId="0" fontId="0" fillId="6" borderId="0" xfId="0" applyFill="1"/>
    <xf numFmtId="0" fontId="0" fillId="8" borderId="0" xfId="0" applyFill="1"/>
    <xf numFmtId="0" fontId="0" fillId="13" borderId="0" xfId="0" applyFill="1"/>
    <xf numFmtId="0" fontId="0" fillId="11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0" borderId="0" xfId="0" applyAlignment="1">
      <alignment horizontal="right"/>
    </xf>
    <xf numFmtId="0" fontId="0" fillId="9" borderId="0" xfId="0" applyFill="1" applyAlignment="1">
      <alignment horizontal="right"/>
    </xf>
    <xf numFmtId="0" fontId="0" fillId="4" borderId="0" xfId="0" applyNumberFormat="1" applyFill="1" applyAlignment="1">
      <alignment horizontal="right"/>
    </xf>
    <xf numFmtId="0" fontId="0" fillId="14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16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8" borderId="3" xfId="0" applyFont="1" applyFill="1" applyBorder="1" applyAlignment="1"/>
    <xf numFmtId="0" fontId="0" fillId="18" borderId="2" xfId="0" applyFont="1" applyFill="1" applyBorder="1" applyAlignment="1"/>
    <xf numFmtId="0" fontId="0" fillId="0" borderId="3" xfId="0" applyFont="1" applyBorder="1" applyAlignment="1"/>
    <xf numFmtId="0" fontId="3" fillId="0" borderId="3" xfId="0" applyFont="1" applyBorder="1" applyAlignment="1"/>
    <xf numFmtId="0" fontId="3" fillId="0" borderId="2" xfId="0" applyFont="1" applyBorder="1" applyAlignment="1"/>
    <xf numFmtId="0" fontId="3" fillId="18" borderId="3" xfId="0" applyFont="1" applyFill="1" applyBorder="1" applyAlignment="1"/>
    <xf numFmtId="0" fontId="3" fillId="18" borderId="2" xfId="0" applyFont="1" applyFill="1" applyBorder="1" applyAlignment="1"/>
    <xf numFmtId="0" fontId="4" fillId="0" borderId="3" xfId="0" applyFont="1" applyBorder="1" applyAlignment="1"/>
    <xf numFmtId="0" fontId="4" fillId="0" borderId="2" xfId="0" applyFont="1" applyBorder="1" applyAlignment="1"/>
    <xf numFmtId="0" fontId="2" fillId="18" borderId="3" xfId="0" applyFont="1" applyFill="1" applyBorder="1" applyAlignment="1">
      <alignment vertical="center"/>
    </xf>
    <xf numFmtId="0" fontId="2" fillId="18" borderId="2" xfId="0" applyFont="1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0" fillId="0" borderId="0" xfId="0" applyFill="1" applyAlignment="1">
      <alignment horizontal="right"/>
    </xf>
    <xf numFmtId="0" fontId="0" fillId="0" borderId="6" xfId="0" applyBorder="1"/>
    <xf numFmtId="0" fontId="0" fillId="0" borderId="7" xfId="0" applyBorder="1"/>
    <xf numFmtId="0" fontId="6" fillId="0" borderId="0" xfId="0" applyFont="1" applyFill="1"/>
    <xf numFmtId="0" fontId="0" fillId="0" borderId="0" xfId="0" applyFill="1" applyBorder="1" applyAlignment="1">
      <alignment horizontal="right"/>
    </xf>
    <xf numFmtId="0" fontId="2" fillId="18" borderId="8" xfId="0" applyFont="1" applyFill="1" applyBorder="1" applyAlignment="1">
      <alignment vertical="center"/>
    </xf>
    <xf numFmtId="0" fontId="2" fillId="18" borderId="9" xfId="0" applyFont="1" applyFill="1" applyBorder="1" applyAlignment="1">
      <alignment vertical="center"/>
    </xf>
    <xf numFmtId="0" fontId="0" fillId="0" borderId="10" xfId="0" applyFill="1" applyBorder="1" applyAlignment="1">
      <alignment horizontal="right"/>
    </xf>
    <xf numFmtId="0" fontId="2" fillId="0" borderId="11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0" fillId="19" borderId="0" xfId="0" applyFill="1" applyAlignment="1">
      <alignment horizontal="right"/>
    </xf>
    <xf numFmtId="0" fontId="0" fillId="16" borderId="0" xfId="0" applyNumberFormat="1" applyFill="1" applyAlignment="1">
      <alignment horizontal="right"/>
    </xf>
    <xf numFmtId="49" fontId="0" fillId="9" borderId="0" xfId="0" applyNumberFormat="1" applyFill="1" applyAlignment="1">
      <alignment horizontal="right"/>
    </xf>
    <xf numFmtId="49" fontId="0" fillId="14" borderId="0" xfId="0" applyNumberFormat="1" applyFill="1" applyAlignment="1">
      <alignment horizontal="right"/>
    </xf>
    <xf numFmtId="49" fontId="0" fillId="0" borderId="0" xfId="0" applyNumberFormat="1" applyAlignment="1">
      <alignment horizontal="right"/>
    </xf>
    <xf numFmtId="0" fontId="0" fillId="20" borderId="0" xfId="0" applyFill="1"/>
    <xf numFmtId="0" fontId="0" fillId="21" borderId="0" xfId="0" applyFill="1" applyAlignment="1">
      <alignment horizontal="right"/>
    </xf>
    <xf numFmtId="0" fontId="0" fillId="22" borderId="0" xfId="0" applyFill="1" applyAlignment="1">
      <alignment horizontal="right"/>
    </xf>
    <xf numFmtId="0" fontId="0" fillId="17" borderId="0" xfId="0" applyFill="1" applyBorder="1" applyAlignment="1">
      <alignment horizontal="right"/>
    </xf>
    <xf numFmtId="0" fontId="0" fillId="11" borderId="0" xfId="0" applyFill="1" applyBorder="1" applyAlignment="1">
      <alignment horizontal="right"/>
    </xf>
    <xf numFmtId="0" fontId="0" fillId="11" borderId="13" xfId="0" applyFill="1" applyBorder="1" applyAlignment="1">
      <alignment horizontal="right"/>
    </xf>
    <xf numFmtId="0" fontId="0" fillId="11" borderId="14" xfId="0" applyFill="1" applyBorder="1" applyAlignment="1">
      <alignment horizontal="right"/>
    </xf>
    <xf numFmtId="0" fontId="0" fillId="11" borderId="15" xfId="0" applyFill="1" applyBorder="1" applyAlignment="1">
      <alignment horizontal="right"/>
    </xf>
    <xf numFmtId="0" fontId="0" fillId="17" borderId="16" xfId="0" applyFill="1" applyBorder="1" applyAlignment="1">
      <alignment horizontal="right"/>
    </xf>
    <xf numFmtId="0" fontId="0" fillId="17" borderId="17" xfId="0" applyFill="1" applyBorder="1" applyAlignment="1">
      <alignment horizontal="right"/>
    </xf>
    <xf numFmtId="0" fontId="0" fillId="11" borderId="16" xfId="0" applyFill="1" applyBorder="1" applyAlignment="1">
      <alignment horizontal="right"/>
    </xf>
    <xf numFmtId="0" fontId="0" fillId="11" borderId="17" xfId="0" applyFill="1" applyBorder="1" applyAlignment="1">
      <alignment horizontal="right"/>
    </xf>
    <xf numFmtId="0" fontId="0" fillId="11" borderId="18" xfId="0" applyFill="1" applyBorder="1" applyAlignment="1">
      <alignment horizontal="right"/>
    </xf>
    <xf numFmtId="0" fontId="0" fillId="11" borderId="19" xfId="0" applyFill="1" applyBorder="1" applyAlignment="1">
      <alignment horizontal="right"/>
    </xf>
    <xf numFmtId="0" fontId="0" fillId="11" borderId="20" xfId="0" applyFill="1" applyBorder="1" applyAlignment="1">
      <alignment horizontal="right"/>
    </xf>
    <xf numFmtId="0" fontId="0" fillId="14" borderId="13" xfId="0" applyFill="1" applyBorder="1" applyAlignment="1">
      <alignment horizontal="right"/>
    </xf>
    <xf numFmtId="0" fontId="0" fillId="0" borderId="16" xfId="0" applyBorder="1" applyAlignment="1">
      <alignment horizontal="right"/>
    </xf>
    <xf numFmtId="0" fontId="0" fillId="14" borderId="16" xfId="0" applyFill="1" applyBorder="1" applyAlignment="1">
      <alignment horizontal="right"/>
    </xf>
    <xf numFmtId="0" fontId="0" fillId="0" borderId="18" xfId="0" applyBorder="1" applyAlignment="1">
      <alignment horizontal="right"/>
    </xf>
    <xf numFmtId="0" fontId="0" fillId="17" borderId="13" xfId="0" applyFill="1" applyBorder="1" applyAlignment="1">
      <alignment horizontal="right"/>
    </xf>
    <xf numFmtId="0" fontId="0" fillId="14" borderId="15" xfId="0" applyFill="1" applyBorder="1" applyAlignment="1">
      <alignment horizontal="right"/>
    </xf>
    <xf numFmtId="0" fontId="0" fillId="0" borderId="17" xfId="0" applyBorder="1" applyAlignment="1">
      <alignment horizontal="right"/>
    </xf>
    <xf numFmtId="0" fontId="0" fillId="14" borderId="17" xfId="0" applyFill="1" applyBorder="1" applyAlignment="1">
      <alignment horizontal="right"/>
    </xf>
    <xf numFmtId="0" fontId="0" fillId="0" borderId="20" xfId="0" applyBorder="1" applyAlignment="1">
      <alignment horizontal="right"/>
    </xf>
    <xf numFmtId="0" fontId="0" fillId="17" borderId="15" xfId="0" applyFill="1" applyBorder="1" applyAlignment="1">
      <alignment horizontal="right"/>
    </xf>
    <xf numFmtId="49" fontId="0" fillId="14" borderId="15" xfId="0" applyNumberFormat="1" applyFill="1" applyBorder="1" applyAlignment="1">
      <alignment horizontal="right"/>
    </xf>
    <xf numFmtId="49" fontId="0" fillId="0" borderId="17" xfId="0" applyNumberFormat="1" applyBorder="1" applyAlignment="1">
      <alignment horizontal="right"/>
    </xf>
    <xf numFmtId="49" fontId="0" fillId="14" borderId="17" xfId="0" applyNumberFormat="1" applyFill="1" applyBorder="1" applyAlignment="1">
      <alignment horizontal="right"/>
    </xf>
    <xf numFmtId="0" fontId="0" fillId="14" borderId="18" xfId="0" applyFill="1" applyBorder="1" applyAlignment="1">
      <alignment horizontal="right"/>
    </xf>
    <xf numFmtId="49" fontId="0" fillId="14" borderId="20" xfId="0" applyNumberFormat="1" applyFill="1" applyBorder="1" applyAlignment="1">
      <alignment horizontal="right"/>
    </xf>
    <xf numFmtId="0" fontId="0" fillId="21" borderId="13" xfId="0" applyFill="1" applyBorder="1" applyAlignment="1">
      <alignment horizontal="right"/>
    </xf>
    <xf numFmtId="0" fontId="0" fillId="21" borderId="14" xfId="0" applyFill="1" applyBorder="1" applyAlignment="1">
      <alignment horizontal="right"/>
    </xf>
    <xf numFmtId="0" fontId="0" fillId="21" borderId="15" xfId="0" applyFill="1" applyBorder="1" applyAlignment="1">
      <alignment horizontal="right"/>
    </xf>
    <xf numFmtId="0" fontId="0" fillId="22" borderId="16" xfId="0" applyFill="1" applyBorder="1" applyAlignment="1">
      <alignment horizontal="right"/>
    </xf>
    <xf numFmtId="0" fontId="0" fillId="22" borderId="0" xfId="0" applyFill="1" applyBorder="1" applyAlignment="1">
      <alignment horizontal="right"/>
    </xf>
    <xf numFmtId="0" fontId="0" fillId="22" borderId="17" xfId="0" applyFill="1" applyBorder="1" applyAlignment="1">
      <alignment horizontal="right"/>
    </xf>
    <xf numFmtId="0" fontId="0" fillId="21" borderId="16" xfId="0" applyFill="1" applyBorder="1" applyAlignment="1">
      <alignment horizontal="right"/>
    </xf>
    <xf numFmtId="0" fontId="0" fillId="21" borderId="0" xfId="0" applyFill="1" applyBorder="1" applyAlignment="1">
      <alignment horizontal="right"/>
    </xf>
    <xf numFmtId="0" fontId="0" fillId="21" borderId="17" xfId="0" applyFill="1" applyBorder="1" applyAlignment="1">
      <alignment horizontal="right"/>
    </xf>
    <xf numFmtId="0" fontId="0" fillId="0" borderId="19" xfId="0" applyFill="1" applyBorder="1" applyAlignment="1">
      <alignment horizontal="right"/>
    </xf>
    <xf numFmtId="0" fontId="0" fillId="0" borderId="0" xfId="0" applyNumberFormat="1" applyFill="1" applyAlignment="1">
      <alignment horizontal="right"/>
    </xf>
    <xf numFmtId="49" fontId="0" fillId="0" borderId="0" xfId="0" applyNumberFormat="1" applyFill="1" applyAlignment="1">
      <alignment horizontal="right"/>
    </xf>
    <xf numFmtId="0" fontId="0" fillId="22" borderId="13" xfId="0" applyFill="1" applyBorder="1" applyAlignment="1">
      <alignment horizontal="right"/>
    </xf>
    <xf numFmtId="0" fontId="0" fillId="22" borderId="14" xfId="0" applyFill="1" applyBorder="1" applyAlignment="1">
      <alignment horizontal="right"/>
    </xf>
    <xf numFmtId="0" fontId="0" fillId="22" borderId="15" xfId="0" applyFill="1" applyBorder="1" applyAlignment="1">
      <alignment horizontal="right"/>
    </xf>
    <xf numFmtId="0" fontId="0" fillId="22" borderId="18" xfId="0" applyFill="1" applyBorder="1" applyAlignment="1">
      <alignment horizontal="right"/>
    </xf>
    <xf numFmtId="0" fontId="0" fillId="22" borderId="19" xfId="0" applyFill="1" applyBorder="1" applyAlignment="1">
      <alignment horizontal="right"/>
    </xf>
    <xf numFmtId="0" fontId="0" fillId="22" borderId="20" xfId="0" applyFill="1" applyBorder="1" applyAlignment="1">
      <alignment horizontal="right"/>
    </xf>
    <xf numFmtId="0" fontId="0" fillId="0" borderId="0" xfId="0" applyAlignment="1">
      <alignment wrapText="1"/>
    </xf>
    <xf numFmtId="0" fontId="0" fillId="22" borderId="0" xfId="0" applyFill="1"/>
    <xf numFmtId="0" fontId="0" fillId="0" borderId="0" xfId="0" applyNumberFormat="1"/>
    <xf numFmtId="0" fontId="0" fillId="14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49" fontId="0" fillId="14" borderId="0" xfId="0" applyNumberFormat="1" applyFill="1" applyBorder="1" applyAlignment="1">
      <alignment horizontal="right"/>
    </xf>
    <xf numFmtId="49" fontId="0" fillId="0" borderId="0" xfId="0" applyNumberFormat="1" applyBorder="1" applyAlignment="1">
      <alignment horizontal="right"/>
    </xf>
    <xf numFmtId="0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0" fontId="5" fillId="0" borderId="0" xfId="0" applyNumberFormat="1" applyFont="1" applyFill="1" applyAlignment="1">
      <alignment horizontal="center"/>
    </xf>
    <xf numFmtId="0" fontId="0" fillId="0" borderId="0" xfId="0" applyAlignment="1">
      <alignment horizontal="left" wrapText="1"/>
    </xf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2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0" borderId="0" xfId="0" applyFont="1" applyFill="1" applyAlignment="1">
      <alignment horizontal="center"/>
    </xf>
    <xf numFmtId="0" fontId="1" fillId="20" borderId="5" xfId="0" applyFont="1" applyFill="1" applyBorder="1" applyAlignment="1">
      <alignment horizontal="center"/>
    </xf>
  </cellXfs>
  <cellStyles count="1">
    <cellStyle name="Normal" xfId="0" builtinId="0"/>
  </cellStyles>
  <dxfs count="25">
    <dxf>
      <fill>
        <patternFill patternType="solid">
          <fgColor indexed="64"/>
          <bgColor rgb="FFCCECFF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CCECFF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CCECFF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9E7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9E7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9E7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9E7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9E7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9E7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9E7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CCECFF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CCECFF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CCECFF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righ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3D4F4"/>
      <color rgb="FFFFF9E7"/>
      <color rgb="FFE4A2E6"/>
      <color rgb="FFE298E4"/>
      <color rgb="FFA42CA7"/>
      <color rgb="FFCCECFF"/>
      <color rgb="FFDFECF7"/>
      <color rgb="FFE7F6FF"/>
      <color rgb="FFEFF6FB"/>
      <color rgb="FFF869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Accuracy (DSIFT w/o concat)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DSIFT1!$A$2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DSIFT1!$B$1:$R$1</c:f>
              <c:numCache>
                <c:formatCode>General</c:formatCode>
                <c:ptCount val="17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</c:numCache>
            </c:numRef>
          </c:cat>
          <c:val>
            <c:numRef>
              <c:f>DSIFT1!$B$2:$R$2</c:f>
              <c:numCache>
                <c:formatCode>General</c:formatCode>
                <c:ptCount val="17"/>
                <c:pt idx="0">
                  <c:v>0.88805312915379175</c:v>
                </c:pt>
                <c:pt idx="1">
                  <c:v>0.83421906457895056</c:v>
                </c:pt>
                <c:pt idx="2">
                  <c:v>0.7795267510161612</c:v>
                </c:pt>
                <c:pt idx="3">
                  <c:v>0.72586256564013674</c:v>
                </c:pt>
                <c:pt idx="4">
                  <c:v>0.67506187156028197</c:v>
                </c:pt>
                <c:pt idx="5">
                  <c:v>0.63097432025128175</c:v>
                </c:pt>
                <c:pt idx="6">
                  <c:v>0.59445256851112849</c:v>
                </c:pt>
                <c:pt idx="7">
                  <c:v>0.56390151484833417</c:v>
                </c:pt>
                <c:pt idx="8">
                  <c:v>0.53723929878399712</c:v>
                </c:pt>
                <c:pt idx="9">
                  <c:v>0.51222405449153263</c:v>
                </c:pt>
                <c:pt idx="10">
                  <c:v>0.48740963483769251</c:v>
                </c:pt>
                <c:pt idx="11">
                  <c:v>0.46375583358726868</c:v>
                </c:pt>
                <c:pt idx="12">
                  <c:v>0.44337172786108148</c:v>
                </c:pt>
                <c:pt idx="13">
                  <c:v>0.42406857168110385</c:v>
                </c:pt>
                <c:pt idx="14">
                  <c:v>0.40773256951640202</c:v>
                </c:pt>
                <c:pt idx="15">
                  <c:v>0.39221788447080946</c:v>
                </c:pt>
                <c:pt idx="16">
                  <c:v>0.37636471319577974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D9-4487-95C6-98EE9536AB8E}"/>
            </c:ext>
          </c:extLst>
        </c:ser>
        <c:ser>
          <c:idx val="1"/>
          <c:order val="1"/>
          <c:tx>
            <c:strRef>
              <c:f>DSIFT1!$A$3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DSIFT1!$B$1:$R$1</c:f>
              <c:numCache>
                <c:formatCode>General</c:formatCode>
                <c:ptCount val="17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</c:numCache>
            </c:numRef>
          </c:cat>
          <c:val>
            <c:numRef>
              <c:f>DSIFT1!$B$3:$R$3</c:f>
              <c:numCache>
                <c:formatCode>General</c:formatCode>
                <c:ptCount val="17"/>
                <c:pt idx="0">
                  <c:v>0.84275792094837665</c:v>
                </c:pt>
                <c:pt idx="1">
                  <c:v>0.79610142231870096</c:v>
                </c:pt>
                <c:pt idx="2">
                  <c:v>0.74820219729945137</c:v>
                </c:pt>
                <c:pt idx="3">
                  <c:v>0.70038284371477011</c:v>
                </c:pt>
                <c:pt idx="4">
                  <c:v>0.65675152650485957</c:v>
                </c:pt>
                <c:pt idx="5">
                  <c:v>0.61933653991201842</c:v>
                </c:pt>
                <c:pt idx="6">
                  <c:v>0.58776820514906591</c:v>
                </c:pt>
                <c:pt idx="7">
                  <c:v>0.5607967650832627</c:v>
                </c:pt>
                <c:pt idx="8">
                  <c:v>0.53697255188779158</c:v>
                </c:pt>
                <c:pt idx="9">
                  <c:v>0.51456749910856858</c:v>
                </c:pt>
                <c:pt idx="10">
                  <c:v>0.49226997962313684</c:v>
                </c:pt>
                <c:pt idx="11">
                  <c:v>0.47007842767929869</c:v>
                </c:pt>
                <c:pt idx="12">
                  <c:v>0.45071897624611895</c:v>
                </c:pt>
                <c:pt idx="13">
                  <c:v>0.43551651962786081</c:v>
                </c:pt>
                <c:pt idx="14">
                  <c:v>0.42247590155439163</c:v>
                </c:pt>
                <c:pt idx="15">
                  <c:v>0.40859136155251741</c:v>
                </c:pt>
                <c:pt idx="16">
                  <c:v>0.39389173192444182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D9-4487-95C6-98EE9536AB8E}"/>
            </c:ext>
          </c:extLst>
        </c:ser>
        <c:ser>
          <c:idx val="2"/>
          <c:order val="2"/>
          <c:tx>
            <c:strRef>
              <c:f>DSIFT1!$A$4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DSIFT1!$B$1:$R$1</c:f>
              <c:numCache>
                <c:formatCode>General</c:formatCode>
                <c:ptCount val="17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</c:numCache>
            </c:numRef>
          </c:cat>
          <c:val>
            <c:numRef>
              <c:f>DSIFT1!$B$4:$R$4</c:f>
              <c:numCache>
                <c:formatCode>General</c:formatCode>
                <c:ptCount val="17"/>
                <c:pt idx="0">
                  <c:v>0.79751635330470849</c:v>
                </c:pt>
                <c:pt idx="1">
                  <c:v>0.75781224092328547</c:v>
                </c:pt>
                <c:pt idx="2">
                  <c:v>0.71688083196182339</c:v>
                </c:pt>
                <c:pt idx="3">
                  <c:v>0.67477722876657353</c:v>
                </c:pt>
                <c:pt idx="4">
                  <c:v>0.63862849361673046</c:v>
                </c:pt>
                <c:pt idx="5">
                  <c:v>0.60785174446584778</c:v>
                </c:pt>
                <c:pt idx="6">
                  <c:v>0.58111426422371704</c:v>
                </c:pt>
                <c:pt idx="7">
                  <c:v>0.5577020156524215</c:v>
                </c:pt>
                <c:pt idx="8">
                  <c:v>0.53665607257325265</c:v>
                </c:pt>
                <c:pt idx="9">
                  <c:v>0.51676057241947737</c:v>
                </c:pt>
                <c:pt idx="10">
                  <c:v>0.49705849419882958</c:v>
                </c:pt>
                <c:pt idx="11">
                  <c:v>0.47666963571500648</c:v>
                </c:pt>
                <c:pt idx="12">
                  <c:v>0.45781154022821302</c:v>
                </c:pt>
                <c:pt idx="13">
                  <c:v>0.44721647015994487</c:v>
                </c:pt>
                <c:pt idx="14">
                  <c:v>0.43715760649565483</c:v>
                </c:pt>
                <c:pt idx="15">
                  <c:v>0.42487119553560143</c:v>
                </c:pt>
                <c:pt idx="16">
                  <c:v>0.41143990604244374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D9-4487-95C6-98EE9536AB8E}"/>
            </c:ext>
          </c:extLst>
        </c:ser>
        <c:ser>
          <c:idx val="3"/>
          <c:order val="3"/>
          <c:tx>
            <c:strRef>
              <c:f>DSIFT1!$A$5</c:f>
              <c:strCache>
                <c:ptCount val="1"/>
                <c:pt idx="0">
                  <c:v>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DSIFT1!$B$1:$R$1</c:f>
              <c:numCache>
                <c:formatCode>General</c:formatCode>
                <c:ptCount val="17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</c:numCache>
            </c:numRef>
          </c:cat>
          <c:val>
            <c:numRef>
              <c:f>DSIFT1!$B$5:$R$5</c:f>
              <c:numCache>
                <c:formatCode>General</c:formatCode>
                <c:ptCount val="17"/>
                <c:pt idx="0">
                  <c:v>0.75245973718388304</c:v>
                </c:pt>
                <c:pt idx="1">
                  <c:v>0.71901964849418187</c:v>
                </c:pt>
                <c:pt idx="2">
                  <c:v>0.68539174543760639</c:v>
                </c:pt>
                <c:pt idx="3">
                  <c:v>0.64904981969133646</c:v>
                </c:pt>
                <c:pt idx="4">
                  <c:v>0.62102995837753061</c:v>
                </c:pt>
                <c:pt idx="5">
                  <c:v>0.59672792370246031</c:v>
                </c:pt>
                <c:pt idx="6">
                  <c:v>0.57453366259017569</c:v>
                </c:pt>
                <c:pt idx="7">
                  <c:v>0.55464466680424485</c:v>
                </c:pt>
                <c:pt idx="8">
                  <c:v>0.53621410096382061</c:v>
                </c:pt>
                <c:pt idx="9">
                  <c:v>0.51857102428249102</c:v>
                </c:pt>
                <c:pt idx="10">
                  <c:v>0.5015328671849405</c:v>
                </c:pt>
                <c:pt idx="11">
                  <c:v>0.48388564905462012</c:v>
                </c:pt>
                <c:pt idx="12">
                  <c:v>0.46460223856532018</c:v>
                </c:pt>
                <c:pt idx="13">
                  <c:v>0.45948358862537458</c:v>
                </c:pt>
                <c:pt idx="14">
                  <c:v>0.45152639519500332</c:v>
                </c:pt>
                <c:pt idx="15">
                  <c:v>0.4409146022386885</c:v>
                </c:pt>
                <c:pt idx="16">
                  <c:v>0.42908133404076293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D9-4487-95C6-98EE9536AB8E}"/>
            </c:ext>
          </c:extLst>
        </c:ser>
        <c:ser>
          <c:idx val="4"/>
          <c:order val="4"/>
          <c:tx>
            <c:strRef>
              <c:f>DSIFT1!$A$6</c:f>
              <c:strCache>
                <c:ptCount val="1"/>
                <c:pt idx="0">
                  <c:v>8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DSIFT1!$B$1:$R$1</c:f>
              <c:numCache>
                <c:formatCode>General</c:formatCode>
                <c:ptCount val="17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</c:numCache>
            </c:numRef>
          </c:cat>
          <c:val>
            <c:numRef>
              <c:f>DSIFT1!$B$6:$R$6</c:f>
              <c:numCache>
                <c:formatCode>General</c:formatCode>
                <c:ptCount val="17"/>
                <c:pt idx="0">
                  <c:v>0.70779608958324824</c:v>
                </c:pt>
                <c:pt idx="1">
                  <c:v>0.68013743022749029</c:v>
                </c:pt>
                <c:pt idx="2">
                  <c:v>0.65312203066532104</c:v>
                </c:pt>
                <c:pt idx="3">
                  <c:v>0.62368658690520073</c:v>
                </c:pt>
                <c:pt idx="4">
                  <c:v>0.60433997095913095</c:v>
                </c:pt>
                <c:pt idx="5">
                  <c:v>0.58613439992077887</c:v>
                </c:pt>
                <c:pt idx="6">
                  <c:v>0.56808462266233561</c:v>
                </c:pt>
                <c:pt idx="7">
                  <c:v>0.55166817731141837</c:v>
                </c:pt>
                <c:pt idx="8">
                  <c:v>0.53555469958453195</c:v>
                </c:pt>
                <c:pt idx="9">
                  <c:v>0.51976180338109379</c:v>
                </c:pt>
                <c:pt idx="10">
                  <c:v>0.50525717811060722</c:v>
                </c:pt>
                <c:pt idx="11">
                  <c:v>0.49180048911078728</c:v>
                </c:pt>
                <c:pt idx="12">
                  <c:v>0.47500685517270697</c:v>
                </c:pt>
                <c:pt idx="13">
                  <c:v>0.47232284878999342</c:v>
                </c:pt>
                <c:pt idx="14">
                  <c:v>0.46509057710334967</c:v>
                </c:pt>
                <c:pt idx="15">
                  <c:v>0.45657490936975215</c:v>
                </c:pt>
                <c:pt idx="16">
                  <c:v>0.4469596693186968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D9-4487-95C6-98EE9536AB8E}"/>
            </c:ext>
          </c:extLst>
        </c:ser>
        <c:ser>
          <c:idx val="5"/>
          <c:order val="5"/>
          <c:tx>
            <c:strRef>
              <c:f>DSIFT1!$A$7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DSIFT1!$B$1:$R$1</c:f>
              <c:numCache>
                <c:formatCode>General</c:formatCode>
                <c:ptCount val="17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</c:numCache>
            </c:numRef>
          </c:cat>
          <c:val>
            <c:numRef>
              <c:f>DSIFT1!$B$7:$R$7</c:f>
              <c:numCache>
                <c:formatCode>General</c:formatCode>
                <c:ptCount val="17"/>
                <c:pt idx="0">
                  <c:v>0.66374516589808219</c:v>
                </c:pt>
                <c:pt idx="1">
                  <c:v>0.64172552094155744</c:v>
                </c:pt>
                <c:pt idx="2">
                  <c:v>0.61861113711817639</c:v>
                </c:pt>
                <c:pt idx="3">
                  <c:v>0.60015102113155083</c:v>
                </c:pt>
                <c:pt idx="4">
                  <c:v>0.58875544498854138</c:v>
                </c:pt>
                <c:pt idx="5">
                  <c:v>0.57612752386725574</c:v>
                </c:pt>
                <c:pt idx="6">
                  <c:v>0.56189063730061661</c:v>
                </c:pt>
                <c:pt idx="7">
                  <c:v>0.54880501253447567</c:v>
                </c:pt>
                <c:pt idx="8">
                  <c:v>0.53455540775972887</c:v>
                </c:pt>
                <c:pt idx="9">
                  <c:v>0.52016032158884717</c:v>
                </c:pt>
                <c:pt idx="10">
                  <c:v>0.50778382842432179</c:v>
                </c:pt>
                <c:pt idx="11">
                  <c:v>0.49943642203149635</c:v>
                </c:pt>
                <c:pt idx="12">
                  <c:v>0.49499144002489681</c:v>
                </c:pt>
                <c:pt idx="13">
                  <c:v>0.48466502141937834</c:v>
                </c:pt>
                <c:pt idx="14">
                  <c:v>0.47728038790161587</c:v>
                </c:pt>
                <c:pt idx="15">
                  <c:v>0.47171867270193574</c:v>
                </c:pt>
                <c:pt idx="16">
                  <c:v>0.465294907478143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D9-4487-95C6-98EE9536AB8E}"/>
            </c:ext>
          </c:extLst>
        </c:ser>
        <c:ser>
          <c:idx val="6"/>
          <c:order val="6"/>
          <c:tx>
            <c:strRef>
              <c:f>DSIFT1!$A$8</c:f>
              <c:strCache>
                <c:ptCount val="1"/>
                <c:pt idx="0">
                  <c:v>12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DSIFT1!$B$1:$R$1</c:f>
              <c:numCache>
                <c:formatCode>General</c:formatCode>
                <c:ptCount val="17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</c:numCache>
            </c:numRef>
          </c:cat>
          <c:val>
            <c:numRef>
              <c:f>DSIFT1!$B$8:$R$8</c:f>
              <c:numCache>
                <c:formatCode>General</c:formatCode>
                <c:ptCount val="17"/>
                <c:pt idx="0">
                  <c:v>0.62048651778656383</c:v>
                </c:pt>
                <c:pt idx="1">
                  <c:v>0.60457551569130175</c:v>
                </c:pt>
                <c:pt idx="2">
                  <c:v>0.58889000755824217</c:v>
                </c:pt>
                <c:pt idx="3">
                  <c:v>0.58124765402616829</c:v>
                </c:pt>
                <c:pt idx="4">
                  <c:v>0.57397563585661515</c:v>
                </c:pt>
                <c:pt idx="5">
                  <c:v>0.56660972195987991</c:v>
                </c:pt>
                <c:pt idx="6">
                  <c:v>0.55625069326613319</c:v>
                </c:pt>
                <c:pt idx="7">
                  <c:v>0.54600338919751967</c:v>
                </c:pt>
                <c:pt idx="8">
                  <c:v>0.53303438509437306</c:v>
                </c:pt>
                <c:pt idx="9">
                  <c:v>0.51966949228380022</c:v>
                </c:pt>
                <c:pt idx="10">
                  <c:v>0.50892425373374073</c:v>
                </c:pt>
                <c:pt idx="11">
                  <c:v>0.50445124810832664</c:v>
                </c:pt>
                <c:pt idx="12">
                  <c:v>0.51092770917717556</c:v>
                </c:pt>
                <c:pt idx="13">
                  <c:v>0.49407070464683944</c:v>
                </c:pt>
                <c:pt idx="14">
                  <c:v>0.48771862861619203</c:v>
                </c:pt>
                <c:pt idx="15">
                  <c:v>0.48615521372163573</c:v>
                </c:pt>
                <c:pt idx="16">
                  <c:v>0.48437576739084015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D9-4487-95C6-98EE9536AB8E}"/>
            </c:ext>
          </c:extLst>
        </c:ser>
        <c:ser>
          <c:idx val="7"/>
          <c:order val="7"/>
          <c:tx>
            <c:strRef>
              <c:f>DSIFT1!$A$9</c:f>
              <c:strCache>
                <c:ptCount val="1"/>
                <c:pt idx="0">
                  <c:v>14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DSIFT1!$B$1:$R$1</c:f>
              <c:numCache>
                <c:formatCode>General</c:formatCode>
                <c:ptCount val="17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</c:numCache>
            </c:numRef>
          </c:cat>
          <c:val>
            <c:numRef>
              <c:f>DSIFT1!$B$9:$R$9</c:f>
              <c:numCache>
                <c:formatCode>General</c:formatCode>
                <c:ptCount val="17"/>
                <c:pt idx="0">
                  <c:v>0.57826811808605072</c:v>
                </c:pt>
                <c:pt idx="1">
                  <c:v>0.56905127543348621</c:v>
                </c:pt>
                <c:pt idx="2">
                  <c:v>0.56150965041439382</c:v>
                </c:pt>
                <c:pt idx="3">
                  <c:v>0.56076160929488916</c:v>
                </c:pt>
                <c:pt idx="4">
                  <c:v>0.55920478243202965</c:v>
                </c:pt>
                <c:pt idx="5">
                  <c:v>0.55728736763458175</c:v>
                </c:pt>
                <c:pt idx="6">
                  <c:v>0.55178099413593396</c:v>
                </c:pt>
                <c:pt idx="7">
                  <c:v>0.54300316524830461</c:v>
                </c:pt>
                <c:pt idx="8">
                  <c:v>0.53073819270654943</c:v>
                </c:pt>
                <c:pt idx="9">
                  <c:v>0.51820182763382339</c:v>
                </c:pt>
                <c:pt idx="10">
                  <c:v>0.50862346190594654</c:v>
                </c:pt>
                <c:pt idx="11">
                  <c:v>0.50510634254533671</c:v>
                </c:pt>
                <c:pt idx="12">
                  <c:v>0.50802443601784064</c:v>
                </c:pt>
                <c:pt idx="13">
                  <c:v>0.4987218771342089</c:v>
                </c:pt>
                <c:pt idx="14">
                  <c:v>0.49612598162175103</c:v>
                </c:pt>
                <c:pt idx="15">
                  <c:v>0.49947216526735427</c:v>
                </c:pt>
                <c:pt idx="16">
                  <c:v>0.50454484605503558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7D9-4487-95C6-98EE9536AB8E}"/>
            </c:ext>
          </c:extLst>
        </c:ser>
        <c:ser>
          <c:idx val="8"/>
          <c:order val="8"/>
          <c:tx>
            <c:strRef>
              <c:f>DSIFT1!$A$10</c:f>
              <c:strCache>
                <c:ptCount val="1"/>
                <c:pt idx="0">
                  <c:v>16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DSIFT1!$B$1:$R$1</c:f>
              <c:numCache>
                <c:formatCode>General</c:formatCode>
                <c:ptCount val="17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</c:numCache>
            </c:numRef>
          </c:cat>
          <c:val>
            <c:numRef>
              <c:f>DSIFT1!$B$10:$R$10</c:f>
              <c:numCache>
                <c:formatCode>General</c:formatCode>
                <c:ptCount val="17"/>
                <c:pt idx="0">
                  <c:v>0.53732384626126306</c:v>
                </c:pt>
                <c:pt idx="1">
                  <c:v>0.53504215070758898</c:v>
                </c:pt>
                <c:pt idx="2">
                  <c:v>0.53498922910783431</c:v>
                </c:pt>
                <c:pt idx="3">
                  <c:v>0.53950526547284938</c:v>
                </c:pt>
                <c:pt idx="4">
                  <c:v>0.54379931033222006</c:v>
                </c:pt>
                <c:pt idx="5">
                  <c:v>0.54749158067154369</c:v>
                </c:pt>
                <c:pt idx="6">
                  <c:v>0.54725909919248528</c:v>
                </c:pt>
                <c:pt idx="7">
                  <c:v>0.53922174638541143</c:v>
                </c:pt>
                <c:pt idx="8">
                  <c:v>0.5273702834867896</c:v>
                </c:pt>
                <c:pt idx="9">
                  <c:v>0.51563002507577516</c:v>
                </c:pt>
                <c:pt idx="10">
                  <c:v>0.50676241986392823</c:v>
                </c:pt>
                <c:pt idx="11">
                  <c:v>0.50209809092552726</c:v>
                </c:pt>
                <c:pt idx="12">
                  <c:v>0.4984410587883451</c:v>
                </c:pt>
                <c:pt idx="13">
                  <c:v>0.49927268388472379</c:v>
                </c:pt>
                <c:pt idx="14">
                  <c:v>0.50217865586851207</c:v>
                </c:pt>
                <c:pt idx="15">
                  <c:v>0.5109308649270583</c:v>
                </c:pt>
                <c:pt idx="16">
                  <c:v>0.52371218413046361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7D9-4487-95C6-98EE9536AB8E}"/>
            </c:ext>
          </c:extLst>
        </c:ser>
        <c:ser>
          <c:idx val="9"/>
          <c:order val="9"/>
          <c:tx>
            <c:strRef>
              <c:f>DSIFT1!$A$11</c:f>
              <c:strCache>
                <c:ptCount val="1"/>
                <c:pt idx="0">
                  <c:v>18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DSIFT1!$B$1:$R$1</c:f>
              <c:numCache>
                <c:formatCode>General</c:formatCode>
                <c:ptCount val="17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</c:numCache>
            </c:numRef>
          </c:cat>
          <c:val>
            <c:numRef>
              <c:f>DSIFT1!$B$11:$R$11</c:f>
              <c:numCache>
                <c:formatCode>General</c:formatCode>
                <c:ptCount val="17"/>
                <c:pt idx="0">
                  <c:v>0.4977828806748299</c:v>
                </c:pt>
                <c:pt idx="1">
                  <c:v>0.50222229526354734</c:v>
                </c:pt>
                <c:pt idx="2">
                  <c:v>0.50864295305408258</c:v>
                </c:pt>
                <c:pt idx="3">
                  <c:v>0.51778784062945304</c:v>
                </c:pt>
                <c:pt idx="4">
                  <c:v>0.52734543071058249</c:v>
                </c:pt>
                <c:pt idx="5">
                  <c:v>0.53633186372102104</c:v>
                </c:pt>
                <c:pt idx="6">
                  <c:v>0.54149589219183891</c:v>
                </c:pt>
                <c:pt idx="7">
                  <c:v>0.53386207334565239</c:v>
                </c:pt>
                <c:pt idx="8">
                  <c:v>0.52263325777858427</c:v>
                </c:pt>
                <c:pt idx="9">
                  <c:v>0.51183466609985107</c:v>
                </c:pt>
                <c:pt idx="10">
                  <c:v>0.50339267456546066</c:v>
                </c:pt>
                <c:pt idx="11">
                  <c:v>0.49731224331034329</c:v>
                </c:pt>
                <c:pt idx="12">
                  <c:v>0.49198806692285757</c:v>
                </c:pt>
                <c:pt idx="13">
                  <c:v>0.49760801364789808</c:v>
                </c:pt>
                <c:pt idx="14">
                  <c:v>0.50576854766937351</c:v>
                </c:pt>
                <c:pt idx="15">
                  <c:v>0.51963708248409612</c:v>
                </c:pt>
                <c:pt idx="16">
                  <c:v>0.5396799162054795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D9-4487-95C6-98EE9536AB8E}"/>
            </c:ext>
          </c:extLst>
        </c:ser>
        <c:ser>
          <c:idx val="10"/>
          <c:order val="10"/>
          <c:tx>
            <c:strRef>
              <c:f>DSIFT1!$A$12</c:f>
              <c:strCache>
                <c:ptCount val="1"/>
                <c:pt idx="0">
                  <c:v>20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DSIFT1!$B$1:$R$1</c:f>
              <c:numCache>
                <c:formatCode>General</c:formatCode>
                <c:ptCount val="17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</c:numCache>
            </c:numRef>
          </c:cat>
          <c:val>
            <c:numRef>
              <c:f>DSIFT1!$B$12:$R$12</c:f>
              <c:numCache>
                <c:formatCode>General</c:formatCode>
                <c:ptCount val="17"/>
                <c:pt idx="0">
                  <c:v>0.4596351013172601</c:v>
                </c:pt>
                <c:pt idx="1">
                  <c:v>0.47025889972274032</c:v>
                </c:pt>
                <c:pt idx="2">
                  <c:v>0.48223072751123575</c:v>
                </c:pt>
                <c:pt idx="3">
                  <c:v>0.49564285493060373</c:v>
                </c:pt>
                <c:pt idx="4">
                  <c:v>0.50961330436325869</c:v>
                </c:pt>
                <c:pt idx="5">
                  <c:v>0.52295254082147469</c:v>
                </c:pt>
                <c:pt idx="6">
                  <c:v>0.53281032684341545</c:v>
                </c:pt>
                <c:pt idx="7">
                  <c:v>0.52613117728192149</c:v>
                </c:pt>
                <c:pt idx="8">
                  <c:v>0.51630245754214821</c:v>
                </c:pt>
                <c:pt idx="9">
                  <c:v>0.50678575879857723</c:v>
                </c:pt>
                <c:pt idx="10">
                  <c:v>0.49884868562747514</c:v>
                </c:pt>
                <c:pt idx="11">
                  <c:v>0.4922172160171947</c:v>
                </c:pt>
                <c:pt idx="12">
                  <c:v>0.48750079142873759</c:v>
                </c:pt>
                <c:pt idx="13">
                  <c:v>0.49522611763990232</c:v>
                </c:pt>
                <c:pt idx="14">
                  <c:v>0.50713686690706161</c:v>
                </c:pt>
                <c:pt idx="15">
                  <c:v>0.52483483667275044</c:v>
                </c:pt>
                <c:pt idx="16">
                  <c:v>0.54999835748438519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7D9-4487-95C6-98EE9536AB8E}"/>
            </c:ext>
          </c:extLst>
        </c:ser>
        <c:ser>
          <c:idx val="11"/>
          <c:order val="11"/>
          <c:tx>
            <c:strRef>
              <c:f>DSIFT1!$A$13</c:f>
              <c:strCache>
                <c:ptCount val="1"/>
                <c:pt idx="0">
                  <c:v>22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DSIFT1!$B$1:$R$1</c:f>
              <c:numCache>
                <c:formatCode>General</c:formatCode>
                <c:ptCount val="17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</c:numCache>
            </c:numRef>
          </c:cat>
          <c:val>
            <c:numRef>
              <c:f>DSIFT1!$B$13:$R$13</c:f>
              <c:numCache>
                <c:formatCode>General</c:formatCode>
                <c:ptCount val="17"/>
                <c:pt idx="0">
                  <c:v>0.42274656047894993</c:v>
                </c:pt>
                <c:pt idx="1">
                  <c:v>0.43889654574522274</c:v>
                </c:pt>
                <c:pt idx="2">
                  <c:v>0.45570336485377311</c:v>
                </c:pt>
                <c:pt idx="3">
                  <c:v>0.47302084931079091</c:v>
                </c:pt>
                <c:pt idx="4">
                  <c:v>0.49051480382967089</c:v>
                </c:pt>
                <c:pt idx="5">
                  <c:v>0.50685569821814314</c:v>
                </c:pt>
                <c:pt idx="6">
                  <c:v>0.5183852135207917</c:v>
                </c:pt>
                <c:pt idx="7">
                  <c:v>0.51555969122129364</c:v>
                </c:pt>
                <c:pt idx="8">
                  <c:v>0.50828440250977247</c:v>
                </c:pt>
                <c:pt idx="9">
                  <c:v>0.50057339977204862</c:v>
                </c:pt>
                <c:pt idx="10">
                  <c:v>0.49356555426356308</c:v>
                </c:pt>
                <c:pt idx="11">
                  <c:v>0.48754435200995866</c:v>
                </c:pt>
                <c:pt idx="12">
                  <c:v>0.4849765260671558</c:v>
                </c:pt>
                <c:pt idx="13">
                  <c:v>0.49290206274485016</c:v>
                </c:pt>
                <c:pt idx="14">
                  <c:v>0.50669364317576493</c:v>
                </c:pt>
                <c:pt idx="15">
                  <c:v>0.52618318354105842</c:v>
                </c:pt>
                <c:pt idx="16">
                  <c:v>0.55183192948981663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7D9-4487-95C6-98EE9536AB8E}"/>
            </c:ext>
          </c:extLst>
        </c:ser>
        <c:ser>
          <c:idx val="12"/>
          <c:order val="12"/>
          <c:tx>
            <c:strRef>
              <c:f>DSIFT1!$A$14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DSIFT1!$B$1:$R$1</c:f>
              <c:numCache>
                <c:formatCode>General</c:formatCode>
                <c:ptCount val="17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</c:numCache>
            </c:numRef>
          </c:cat>
          <c:val>
            <c:numRef>
              <c:f>DSIFT1!$B$14:$R$14</c:f>
              <c:numCache>
                <c:formatCode>General</c:formatCode>
                <c:ptCount val="17"/>
                <c:pt idx="0">
                  <c:v>0.38689905861385748</c:v>
                </c:pt>
                <c:pt idx="1">
                  <c:v>0.40795829993699678</c:v>
                </c:pt>
                <c:pt idx="2">
                  <c:v>0.42907256794776472</c:v>
                </c:pt>
                <c:pt idx="3">
                  <c:v>0.44989158704013787</c:v>
                </c:pt>
                <c:pt idx="4">
                  <c:v>0.47006559555387312</c:v>
                </c:pt>
                <c:pt idx="5">
                  <c:v>0.48818125013659808</c:v>
                </c:pt>
                <c:pt idx="6">
                  <c:v>0.50067762105155278</c:v>
                </c:pt>
                <c:pt idx="7">
                  <c:v>0.50229860908026081</c:v>
                </c:pt>
                <c:pt idx="8">
                  <c:v>0.49862273657613665</c:v>
                </c:pt>
                <c:pt idx="9">
                  <c:v>0.49338403728210473</c:v>
                </c:pt>
                <c:pt idx="10">
                  <c:v>0.48792316522027501</c:v>
                </c:pt>
                <c:pt idx="11">
                  <c:v>0.48340516523271193</c:v>
                </c:pt>
                <c:pt idx="12">
                  <c:v>0.48306382509303653</c:v>
                </c:pt>
                <c:pt idx="13">
                  <c:v>0.4907947830227205</c:v>
                </c:pt>
                <c:pt idx="14">
                  <c:v>0.50484412275061752</c:v>
                </c:pt>
                <c:pt idx="15">
                  <c:v>0.5239126717366428</c:v>
                </c:pt>
                <c:pt idx="16">
                  <c:v>0.54711397532589412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7D9-4487-95C6-98EE9536AB8E}"/>
            </c:ext>
          </c:extLst>
        </c:ser>
        <c:ser>
          <c:idx val="13"/>
          <c:order val="13"/>
          <c:tx>
            <c:strRef>
              <c:f>DSIFT1!$A$15</c:f>
              <c:strCache>
                <c:ptCount val="1"/>
                <c:pt idx="0">
                  <c:v>26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DSIFT1!$B$1:$R$1</c:f>
              <c:numCache>
                <c:formatCode>General</c:formatCode>
                <c:ptCount val="17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</c:numCache>
            </c:numRef>
          </c:cat>
          <c:val>
            <c:numRef>
              <c:f>DSIFT1!$B$15:$R$15</c:f>
              <c:numCache>
                <c:formatCode>General</c:formatCode>
                <c:ptCount val="17"/>
                <c:pt idx="0">
                  <c:v>0.35183334406079814</c:v>
                </c:pt>
                <c:pt idx="1">
                  <c:v>0.37731741655007039</c:v>
                </c:pt>
                <c:pt idx="2">
                  <c:v>0.40236179133383021</c:v>
                </c:pt>
                <c:pt idx="3">
                  <c:v>0.42628703982037286</c:v>
                </c:pt>
                <c:pt idx="4">
                  <c:v>0.44842689527761631</c:v>
                </c:pt>
                <c:pt idx="5">
                  <c:v>0.46743694452496765</c:v>
                </c:pt>
                <c:pt idx="6">
                  <c:v>0.48092906015663145</c:v>
                </c:pt>
                <c:pt idx="7">
                  <c:v>0.48686712595058451</c:v>
                </c:pt>
                <c:pt idx="8">
                  <c:v>0.48754080245656939</c:v>
                </c:pt>
                <c:pt idx="9">
                  <c:v>0.48545758116744703</c:v>
                </c:pt>
                <c:pt idx="10">
                  <c:v>0.48216495030476919</c:v>
                </c:pt>
                <c:pt idx="11">
                  <c:v>0.47962534130117085</c:v>
                </c:pt>
                <c:pt idx="12">
                  <c:v>0.48114044933486488</c:v>
                </c:pt>
                <c:pt idx="13">
                  <c:v>0.48878451034296483</c:v>
                </c:pt>
                <c:pt idx="14">
                  <c:v>0.50195421881500701</c:v>
                </c:pt>
                <c:pt idx="15">
                  <c:v>0.51866762810916112</c:v>
                </c:pt>
                <c:pt idx="16">
                  <c:v>0.53739288774777272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7D9-4487-95C6-98EE9536AB8E}"/>
            </c:ext>
          </c:extLst>
        </c:ser>
        <c:ser>
          <c:idx val="14"/>
          <c:order val="14"/>
          <c:tx>
            <c:strRef>
              <c:f>DSIFT1!$A$16</c:f>
              <c:strCache>
                <c:ptCount val="1"/>
                <c:pt idx="0">
                  <c:v>28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DSIFT1!$B$1:$R$1</c:f>
              <c:numCache>
                <c:formatCode>General</c:formatCode>
                <c:ptCount val="17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</c:numCache>
            </c:numRef>
          </c:cat>
          <c:val>
            <c:numRef>
              <c:f>DSIFT1!$B$16:$R$16</c:f>
              <c:numCache>
                <c:formatCode>General</c:formatCode>
                <c:ptCount val="17"/>
                <c:pt idx="0">
                  <c:v>0.31728672599061103</c:v>
                </c:pt>
                <c:pt idx="1">
                  <c:v>0.34687248122980524</c:v>
                </c:pt>
                <c:pt idx="2">
                  <c:v>0.37559445743097791</c:v>
                </c:pt>
                <c:pt idx="3">
                  <c:v>0.40230565320898137</c:v>
                </c:pt>
                <c:pt idx="4">
                  <c:v>0.42589414289167554</c:v>
                </c:pt>
                <c:pt idx="5">
                  <c:v>0.44523647742398581</c:v>
                </c:pt>
                <c:pt idx="6">
                  <c:v>0.45970387770871696</c:v>
                </c:pt>
                <c:pt idx="7">
                  <c:v>0.46989971746218134</c:v>
                </c:pt>
                <c:pt idx="8">
                  <c:v>0.4754115290989494</c:v>
                </c:pt>
                <c:pt idx="9">
                  <c:v>0.47704491684052946</c:v>
                </c:pt>
                <c:pt idx="10">
                  <c:v>0.47640504489098129</c:v>
                </c:pt>
                <c:pt idx="11">
                  <c:v>0.47598920017806101</c:v>
                </c:pt>
                <c:pt idx="12">
                  <c:v>0.47893725677691457</c:v>
                </c:pt>
                <c:pt idx="13">
                  <c:v>0.48672305509184305</c:v>
                </c:pt>
                <c:pt idx="14">
                  <c:v>0.49836404968449771</c:v>
                </c:pt>
                <c:pt idx="15">
                  <c:v>0.51129527325504087</c:v>
                </c:pt>
                <c:pt idx="16">
                  <c:v>0.52395876234790584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7D9-4487-95C6-98EE9536AB8E}"/>
            </c:ext>
          </c:extLst>
        </c:ser>
        <c:ser>
          <c:idx val="15"/>
          <c:order val="15"/>
          <c:tx>
            <c:strRef>
              <c:f>DSIFT1!$A$17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DSIFT1!$B$1:$R$1</c:f>
              <c:numCache>
                <c:formatCode>General</c:formatCode>
                <c:ptCount val="17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</c:numCache>
            </c:numRef>
          </c:cat>
          <c:val>
            <c:numRef>
              <c:f>DSIFT1!$B$17:$R$17</c:f>
              <c:numCache>
                <c:formatCode>General</c:formatCode>
                <c:ptCount val="17"/>
                <c:pt idx="0">
                  <c:v>0.28302399468072975</c:v>
                </c:pt>
                <c:pt idx="1">
                  <c:v>0.31653706280195082</c:v>
                </c:pt>
                <c:pt idx="2">
                  <c:v>0.34879316604199007</c:v>
                </c:pt>
                <c:pt idx="3">
                  <c:v>0.37808825691648085</c:v>
                </c:pt>
                <c:pt idx="4">
                  <c:v>0.40282801042590194</c:v>
                </c:pt>
                <c:pt idx="5">
                  <c:v>0.42217154417540015</c:v>
                </c:pt>
                <c:pt idx="6">
                  <c:v>0.43729605953226325</c:v>
                </c:pt>
                <c:pt idx="7">
                  <c:v>0.45201724481102301</c:v>
                </c:pt>
                <c:pt idx="8">
                  <c:v>0.46266784565561164</c:v>
                </c:pt>
                <c:pt idx="9">
                  <c:v>0.46837099576311247</c:v>
                </c:pt>
                <c:pt idx="10">
                  <c:v>0.47067388036874863</c:v>
                </c:pt>
                <c:pt idx="11">
                  <c:v>0.47235777802867768</c:v>
                </c:pt>
                <c:pt idx="12">
                  <c:v>0.47635245174393276</c:v>
                </c:pt>
                <c:pt idx="13">
                  <c:v>0.48454839272632561</c:v>
                </c:pt>
                <c:pt idx="14">
                  <c:v>0.49438560266439346</c:v>
                </c:pt>
                <c:pt idx="15">
                  <c:v>0.50267282776238509</c:v>
                </c:pt>
                <c:pt idx="16">
                  <c:v>0.50797595407221829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7D9-4487-95C6-98EE9536AB8E}"/>
            </c:ext>
          </c:extLst>
        </c:ser>
        <c:ser>
          <c:idx val="16"/>
          <c:order val="16"/>
          <c:tx>
            <c:strRef>
              <c:f>DSIFT1!$A$18</c:f>
              <c:strCache>
                <c:ptCount val="1"/>
                <c:pt idx="0">
                  <c:v>32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DSIFT1!$B$1:$R$1</c:f>
              <c:numCache>
                <c:formatCode>General</c:formatCode>
                <c:ptCount val="17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</c:numCache>
            </c:numRef>
          </c:cat>
          <c:val>
            <c:numRef>
              <c:f>DSIFT1!$B$18:$R$18</c:f>
              <c:numCache>
                <c:formatCode>General</c:formatCode>
                <c:ptCount val="17"/>
                <c:pt idx="0">
                  <c:v>0.24886392659846432</c:v>
                </c:pt>
                <c:pt idx="1">
                  <c:v>0.28624243148895201</c:v>
                </c:pt>
                <c:pt idx="2">
                  <c:v>0.32197832473758592</c:v>
                </c:pt>
                <c:pt idx="3">
                  <c:v>0.35377640086482176</c:v>
                </c:pt>
                <c:pt idx="4">
                  <c:v>0.37955825303777857</c:v>
                </c:pt>
                <c:pt idx="5">
                  <c:v>0.39875683057011407</c:v>
                </c:pt>
                <c:pt idx="6">
                  <c:v>0.41406308153308341</c:v>
                </c:pt>
                <c:pt idx="7">
                  <c:v>0.43376443970514805</c:v>
                </c:pt>
                <c:pt idx="8">
                  <c:v>0.44969270877998174</c:v>
                </c:pt>
                <c:pt idx="9">
                  <c:v>0.45960501172672497</c:v>
                </c:pt>
                <c:pt idx="10">
                  <c:v>0.46496172643119615</c:v>
                </c:pt>
                <c:pt idx="11">
                  <c:v>0.4686962381227443</c:v>
                </c:pt>
                <c:pt idx="12">
                  <c:v>0.47343776267583298</c:v>
                </c:pt>
                <c:pt idx="13">
                  <c:v>0.48229740006972616</c:v>
                </c:pt>
                <c:pt idx="14">
                  <c:v>0.49026792731973123</c:v>
                </c:pt>
                <c:pt idx="15">
                  <c:v>0.49356340609846899</c:v>
                </c:pt>
                <c:pt idx="16">
                  <c:v>0.49062555127149032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7D9-4487-95C6-98EE9536AB8E}"/>
            </c:ext>
          </c:extLst>
        </c:ser>
        <c:bandFmts>
          <c:bandFmt>
            <c:idx val="0"/>
            <c:spPr>
              <a:solidFill>
                <a:srgbClr val="FF2700"/>
              </a:solidFill>
              <a:ln/>
              <a:effectLst/>
              <a:sp3d/>
            </c:spPr>
          </c:bandFmt>
          <c:bandFmt>
            <c:idx val="1"/>
            <c:spPr>
              <a:solidFill>
                <a:srgbClr val="FF4E00"/>
              </a:solidFill>
              <a:ln/>
              <a:effectLst/>
              <a:sp3d/>
            </c:spPr>
          </c:bandFmt>
          <c:bandFmt>
            <c:idx val="2"/>
            <c:spPr>
              <a:solidFill>
                <a:srgbClr val="FF7500"/>
              </a:solidFill>
              <a:ln/>
              <a:effectLst/>
              <a:sp3d/>
            </c:spPr>
          </c:bandFmt>
          <c:bandFmt>
            <c:idx val="3"/>
            <c:spPr>
              <a:solidFill>
                <a:srgbClr val="FF9C00"/>
              </a:solidFill>
              <a:ln/>
              <a:effectLst/>
              <a:sp3d/>
            </c:spPr>
          </c:bandFmt>
          <c:bandFmt>
            <c:idx val="4"/>
            <c:spPr>
              <a:solidFill>
                <a:srgbClr val="FFC400"/>
              </a:solidFill>
              <a:ln/>
              <a:effectLst/>
              <a:sp3d/>
            </c:spPr>
          </c:bandFmt>
          <c:bandFmt>
            <c:idx val="5"/>
            <c:spPr>
              <a:solidFill>
                <a:srgbClr val="FFEB00"/>
              </a:solidFill>
              <a:ln/>
              <a:effectLst/>
              <a:sp3d/>
            </c:spPr>
          </c:bandFmt>
          <c:bandFmt>
            <c:idx val="6"/>
            <c:spPr>
              <a:solidFill>
                <a:srgbClr val="EBFF00"/>
              </a:solidFill>
              <a:ln/>
              <a:effectLst/>
              <a:sp3d/>
            </c:spPr>
          </c:bandFmt>
          <c:bandFmt>
            <c:idx val="7"/>
            <c:spPr>
              <a:solidFill>
                <a:srgbClr val="C4FF00"/>
              </a:solidFill>
              <a:ln/>
              <a:effectLst/>
              <a:sp3d/>
            </c:spPr>
          </c:bandFmt>
          <c:bandFmt>
            <c:idx val="8"/>
            <c:spPr>
              <a:solidFill>
                <a:srgbClr val="9CFF00"/>
              </a:solidFill>
              <a:ln/>
              <a:effectLst/>
              <a:sp3d/>
            </c:spPr>
          </c:bandFmt>
          <c:bandFmt>
            <c:idx val="9"/>
            <c:spPr>
              <a:solidFill>
                <a:srgbClr val="75FF00"/>
              </a:solidFill>
              <a:ln/>
              <a:effectLst/>
              <a:sp3d/>
            </c:spPr>
          </c:bandFmt>
          <c:bandFmt>
            <c:idx val="10"/>
            <c:spPr>
              <a:solidFill>
                <a:srgbClr val="4EFF00"/>
              </a:solidFill>
              <a:ln/>
              <a:effectLst/>
              <a:sp3d/>
            </c:spPr>
          </c:bandFmt>
          <c:bandFmt>
            <c:idx val="11"/>
            <c:spPr>
              <a:solidFill>
                <a:srgbClr val="27FF00"/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141279224"/>
        <c:axId val="1141287752"/>
        <c:axId val="1141811640"/>
      </c:surface3DChart>
      <c:catAx>
        <c:axId val="1141279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287752"/>
        <c:crosses val="autoZero"/>
        <c:auto val="1"/>
        <c:lblAlgn val="ctr"/>
        <c:lblOffset val="100"/>
        <c:noMultiLvlLbl val="0"/>
      </c:catAx>
      <c:valAx>
        <c:axId val="114128775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279224"/>
        <c:crosses val="autoZero"/>
        <c:crossBetween val="midCat"/>
        <c:majorUnit val="5.000000000000001E-2"/>
      </c:valAx>
      <c:serAx>
        <c:axId val="114181164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287752"/>
        <c:crosses val="autoZero"/>
      </c:ser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 of Alpha (Iter=10)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Accuracy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Main!$N$67:$N$79</c:f>
              <c:numCache>
                <c:formatCode>General</c:formatCode>
                <c:ptCount val="13"/>
                <c:pt idx="0">
                  <c:v>30</c:v>
                </c:pt>
                <c:pt idx="1">
                  <c:v>25</c:v>
                </c:pt>
                <c:pt idx="2">
                  <c:v>20</c:v>
                </c:pt>
                <c:pt idx="3">
                  <c:v>15</c:v>
                </c:pt>
                <c:pt idx="4">
                  <c:v>14</c:v>
                </c:pt>
                <c:pt idx="5">
                  <c:v>13</c:v>
                </c:pt>
                <c:pt idx="6">
                  <c:v>12</c:v>
                </c:pt>
                <c:pt idx="7">
                  <c:v>11</c:v>
                </c:pt>
                <c:pt idx="8">
                  <c:v>10</c:v>
                </c:pt>
                <c:pt idx="9">
                  <c:v>9</c:v>
                </c:pt>
                <c:pt idx="10">
                  <c:v>7</c:v>
                </c:pt>
                <c:pt idx="11">
                  <c:v>5</c:v>
                </c:pt>
                <c:pt idx="12">
                  <c:v>2</c:v>
                </c:pt>
              </c:numCache>
            </c:numRef>
          </c:xVal>
          <c:yVal>
            <c:numRef>
              <c:f>Main!$T$67:$T$79</c:f>
              <c:numCache>
                <c:formatCode>General</c:formatCode>
                <c:ptCount val="13"/>
                <c:pt idx="0">
                  <c:v>0.72851063829787199</c:v>
                </c:pt>
                <c:pt idx="1">
                  <c:v>0.78255319148936098</c:v>
                </c:pt>
                <c:pt idx="2">
                  <c:v>0.90808510638297801</c:v>
                </c:pt>
                <c:pt idx="3">
                  <c:v>0.95489361702127595</c:v>
                </c:pt>
                <c:pt idx="4">
                  <c:v>0.96425531914893603</c:v>
                </c:pt>
                <c:pt idx="5">
                  <c:v>0.99106382978723395</c:v>
                </c:pt>
                <c:pt idx="6">
                  <c:v>0.95702127659574399</c:v>
                </c:pt>
                <c:pt idx="7">
                  <c:v>0.95617021276595704</c:v>
                </c:pt>
                <c:pt idx="8">
                  <c:v>0.96510638297872298</c:v>
                </c:pt>
                <c:pt idx="9">
                  <c:v>0.95617021276595704</c:v>
                </c:pt>
                <c:pt idx="10">
                  <c:v>0.94936170212765902</c:v>
                </c:pt>
                <c:pt idx="11">
                  <c:v>0.89063829787233995</c:v>
                </c:pt>
                <c:pt idx="12">
                  <c:v>4.4255319148936198E-2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26-4C0F-9918-CC887FD1074D}"/>
            </c:ext>
          </c:extLst>
        </c:ser>
        <c:ser>
          <c:idx val="1"/>
          <c:order val="1"/>
          <c:tx>
            <c:v>NMI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Main!$N$67:$N$79</c:f>
              <c:numCache>
                <c:formatCode>General</c:formatCode>
                <c:ptCount val="13"/>
                <c:pt idx="0">
                  <c:v>30</c:v>
                </c:pt>
                <c:pt idx="1">
                  <c:v>25</c:v>
                </c:pt>
                <c:pt idx="2">
                  <c:v>20</c:v>
                </c:pt>
                <c:pt idx="3">
                  <c:v>15</c:v>
                </c:pt>
                <c:pt idx="4">
                  <c:v>14</c:v>
                </c:pt>
                <c:pt idx="5">
                  <c:v>13</c:v>
                </c:pt>
                <c:pt idx="6">
                  <c:v>12</c:v>
                </c:pt>
                <c:pt idx="7">
                  <c:v>11</c:v>
                </c:pt>
                <c:pt idx="8">
                  <c:v>10</c:v>
                </c:pt>
                <c:pt idx="9">
                  <c:v>9</c:v>
                </c:pt>
                <c:pt idx="10">
                  <c:v>7</c:v>
                </c:pt>
                <c:pt idx="11">
                  <c:v>5</c:v>
                </c:pt>
                <c:pt idx="12">
                  <c:v>2</c:v>
                </c:pt>
              </c:numCache>
            </c:numRef>
          </c:xVal>
          <c:yVal>
            <c:numRef>
              <c:f>Main!$U$67:$U$79</c:f>
              <c:numCache>
                <c:formatCode>General</c:formatCode>
                <c:ptCount val="13"/>
                <c:pt idx="0">
                  <c:v>0.809703824983384</c:v>
                </c:pt>
                <c:pt idx="1">
                  <c:v>0.84975604386238501</c:v>
                </c:pt>
                <c:pt idx="2">
                  <c:v>0.94230093917972002</c:v>
                </c:pt>
                <c:pt idx="3">
                  <c:v>0.98503860209193805</c:v>
                </c:pt>
                <c:pt idx="4">
                  <c:v>0.98961617247622302</c:v>
                </c:pt>
                <c:pt idx="5">
                  <c:v>0.99161540782728796</c:v>
                </c:pt>
                <c:pt idx="6">
                  <c:v>0.983753927655591</c:v>
                </c:pt>
                <c:pt idx="7">
                  <c:v>0.98397811884727604</c:v>
                </c:pt>
                <c:pt idx="8">
                  <c:v>0.98910316142585697</c:v>
                </c:pt>
                <c:pt idx="9">
                  <c:v>0.98397811884727604</c:v>
                </c:pt>
                <c:pt idx="10">
                  <c:v>0.97995489984437301</c:v>
                </c:pt>
                <c:pt idx="11">
                  <c:v>0.95769861869065198</c:v>
                </c:pt>
                <c:pt idx="12">
                  <c:v>0.153243795418393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26-4C0F-9918-CC887FD1074D}"/>
            </c:ext>
          </c:extLst>
        </c:ser>
        <c:ser>
          <c:idx val="2"/>
          <c:order val="2"/>
          <c:tx>
            <c:v>ARI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Main!$N$67:$N$79</c:f>
              <c:numCache>
                <c:formatCode>General</c:formatCode>
                <c:ptCount val="13"/>
                <c:pt idx="0">
                  <c:v>30</c:v>
                </c:pt>
                <c:pt idx="1">
                  <c:v>25</c:v>
                </c:pt>
                <c:pt idx="2">
                  <c:v>20</c:v>
                </c:pt>
                <c:pt idx="3">
                  <c:v>15</c:v>
                </c:pt>
                <c:pt idx="4">
                  <c:v>14</c:v>
                </c:pt>
                <c:pt idx="5">
                  <c:v>13</c:v>
                </c:pt>
                <c:pt idx="6">
                  <c:v>12</c:v>
                </c:pt>
                <c:pt idx="7">
                  <c:v>11</c:v>
                </c:pt>
                <c:pt idx="8">
                  <c:v>10</c:v>
                </c:pt>
                <c:pt idx="9">
                  <c:v>9</c:v>
                </c:pt>
                <c:pt idx="10">
                  <c:v>7</c:v>
                </c:pt>
                <c:pt idx="11">
                  <c:v>5</c:v>
                </c:pt>
                <c:pt idx="12">
                  <c:v>2</c:v>
                </c:pt>
              </c:numCache>
            </c:numRef>
          </c:xVal>
          <c:yVal>
            <c:numRef>
              <c:f>Main!$V$67:$V$79</c:f>
              <c:numCache>
                <c:formatCode>General</c:formatCode>
                <c:ptCount val="13"/>
                <c:pt idx="0">
                  <c:v>0.34644111374122699</c:v>
                </c:pt>
                <c:pt idx="1">
                  <c:v>0.50453605343021102</c:v>
                </c:pt>
                <c:pt idx="2">
                  <c:v>0.78106635877269204</c:v>
                </c:pt>
                <c:pt idx="3">
                  <c:v>0.95443919120892795</c:v>
                </c:pt>
                <c:pt idx="4">
                  <c:v>0.96274474127805298</c:v>
                </c:pt>
                <c:pt idx="5">
                  <c:v>0.98290884607250795</c:v>
                </c:pt>
                <c:pt idx="6">
                  <c:v>0.94870413727427705</c:v>
                </c:pt>
                <c:pt idx="7">
                  <c:v>0.94789970218503306</c:v>
                </c:pt>
                <c:pt idx="8">
                  <c:v>0.96260693029095401</c:v>
                </c:pt>
                <c:pt idx="9">
                  <c:v>0.94789970218503306</c:v>
                </c:pt>
                <c:pt idx="10">
                  <c:v>0.93828577477020303</c:v>
                </c:pt>
                <c:pt idx="11">
                  <c:v>0.87430147193739405</c:v>
                </c:pt>
                <c:pt idx="12">
                  <c:v>9.74100474418277E-4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26-4C0F-9918-CC887FD10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579976"/>
        <c:axId val="383581288"/>
      </c:scatterChart>
      <c:valAx>
        <c:axId val="383579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81288"/>
        <c:crosses val="autoZero"/>
        <c:crossBetween val="midCat"/>
      </c:valAx>
      <c:valAx>
        <c:axId val="38358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79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2672200349956252"/>
          <c:y val="0.62839020122484701"/>
          <c:w val="0.17466710411198599"/>
          <c:h val="0.2350295001425657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[Trunc=10] Effect of Iter (</a:t>
            </a:r>
            <a:r>
              <a:rPr lang="el-GR" sz="1400" b="0" i="0" u="none" strike="noStrike" baseline="0">
                <a:effectLst/>
              </a:rPr>
              <a:t>α</a:t>
            </a:r>
            <a:r>
              <a:rPr lang="en-US" sz="1400" b="0" i="0" u="none" strike="noStrike" baseline="0">
                <a:effectLst/>
              </a:rPr>
              <a:t>=20</a:t>
            </a:r>
            <a:r>
              <a:rPr lang="en-US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Accuracy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(Main!$P$51:$P$53,Main!$P$45,Main!$P$54,Main!$P$58:$P$59,Main!$P$57,Main!$P$60,Main!$P$55:$P$56)</c:f>
              <c:numCache>
                <c:formatCode>General</c:formatCode>
                <c:ptCount val="11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500</c:v>
                </c:pt>
                <c:pt idx="8">
                  <c:v>600</c:v>
                </c:pt>
                <c:pt idx="9">
                  <c:v>1000</c:v>
                </c:pt>
                <c:pt idx="10">
                  <c:v>2000</c:v>
                </c:pt>
              </c:numCache>
            </c:numRef>
          </c:xVal>
          <c:yVal>
            <c:numRef>
              <c:f>(Main!$T$51:$T$53,Main!$T$45,Main!$T$54,Main!$T$58:$T$59,Main!$T$57,Main!$T$60,Main!$T$55:$T$56)</c:f>
              <c:numCache>
                <c:formatCode>General</c:formatCode>
                <c:ptCount val="11"/>
                <c:pt idx="0">
                  <c:v>0.671875</c:v>
                </c:pt>
                <c:pt idx="1">
                  <c:v>0.70781249999999996</c:v>
                </c:pt>
                <c:pt idx="2">
                  <c:v>0.68906250000000002</c:v>
                </c:pt>
                <c:pt idx="3">
                  <c:v>0.6875</c:v>
                </c:pt>
                <c:pt idx="4">
                  <c:v>0.69374999999999998</c:v>
                </c:pt>
                <c:pt idx="5">
                  <c:v>0.68906250000000002</c:v>
                </c:pt>
                <c:pt idx="6">
                  <c:v>0.69218749999999996</c:v>
                </c:pt>
                <c:pt idx="7">
                  <c:v>0.69374999999999998</c:v>
                </c:pt>
                <c:pt idx="8">
                  <c:v>0.69374999999999998</c:v>
                </c:pt>
                <c:pt idx="9">
                  <c:v>0.69374999999999998</c:v>
                </c:pt>
                <c:pt idx="10">
                  <c:v>0.69374999999999998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33-45DA-BA6B-348E8FAF1EC7}"/>
            </c:ext>
          </c:extLst>
        </c:ser>
        <c:ser>
          <c:idx val="1"/>
          <c:order val="1"/>
          <c:tx>
            <c:v>NMI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(Main!$P$51:$P$53,Main!$P$45,Main!$P$54,Main!$P$58:$P$59,Main!$P$57,Main!$P$60,Main!$P$55:$P$56)</c:f>
              <c:numCache>
                <c:formatCode>General</c:formatCode>
                <c:ptCount val="11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500</c:v>
                </c:pt>
                <c:pt idx="8">
                  <c:v>600</c:v>
                </c:pt>
                <c:pt idx="9">
                  <c:v>1000</c:v>
                </c:pt>
                <c:pt idx="10">
                  <c:v>2000</c:v>
                </c:pt>
              </c:numCache>
            </c:numRef>
          </c:xVal>
          <c:yVal>
            <c:numRef>
              <c:f>(Main!$U$51:$U$53,Main!$U$45,Main!$U$54,Main!$U$58:$U$59,Main!$U$57,Main!$U$60,Main!$U$55:$U$56)</c:f>
              <c:numCache>
                <c:formatCode>General</c:formatCode>
                <c:ptCount val="11"/>
                <c:pt idx="0">
                  <c:v>0.697041735160982</c:v>
                </c:pt>
                <c:pt idx="1">
                  <c:v>0.74721827664555196</c:v>
                </c:pt>
                <c:pt idx="2">
                  <c:v>0.724850011642166</c:v>
                </c:pt>
                <c:pt idx="3">
                  <c:v>0.72141934136479502</c:v>
                </c:pt>
                <c:pt idx="4">
                  <c:v>0.72360288176691301</c:v>
                </c:pt>
                <c:pt idx="5">
                  <c:v>0.71989425016539998</c:v>
                </c:pt>
                <c:pt idx="6">
                  <c:v>0.722796334996607</c:v>
                </c:pt>
                <c:pt idx="7">
                  <c:v>0.72369577099824001</c:v>
                </c:pt>
                <c:pt idx="8">
                  <c:v>0.72369577099824001</c:v>
                </c:pt>
                <c:pt idx="9">
                  <c:v>0.72369577099824001</c:v>
                </c:pt>
                <c:pt idx="10">
                  <c:v>0.72369577099824001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33-45DA-BA6B-348E8FAF1EC7}"/>
            </c:ext>
          </c:extLst>
        </c:ser>
        <c:ser>
          <c:idx val="2"/>
          <c:order val="2"/>
          <c:tx>
            <c:v>ARI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(Main!$P$51:$P$53,Main!$P$45,Main!$P$54,Main!$P$58:$P$59,Main!$P$57,Main!$P$60,Main!$P$55:$P$56)</c:f>
              <c:numCache>
                <c:formatCode>General</c:formatCode>
                <c:ptCount val="11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500</c:v>
                </c:pt>
                <c:pt idx="8">
                  <c:v>600</c:v>
                </c:pt>
                <c:pt idx="9">
                  <c:v>1000</c:v>
                </c:pt>
                <c:pt idx="10">
                  <c:v>2000</c:v>
                </c:pt>
              </c:numCache>
            </c:numRef>
          </c:xVal>
          <c:yVal>
            <c:numRef>
              <c:f>(Main!$V$51:$V$53,Main!$V$45,Main!$V$54,Main!$V$58:$V$59,Main!$V$57,Main!$V$60,Main!$V$55:$V$56)</c:f>
              <c:numCache>
                <c:formatCode>General</c:formatCode>
                <c:ptCount val="11"/>
                <c:pt idx="0">
                  <c:v>0.38934790148828702</c:v>
                </c:pt>
                <c:pt idx="1">
                  <c:v>0.49070569887236098</c:v>
                </c:pt>
                <c:pt idx="2">
                  <c:v>0.43561659210953102</c:v>
                </c:pt>
                <c:pt idx="3">
                  <c:v>0.427319342829654</c:v>
                </c:pt>
                <c:pt idx="4">
                  <c:v>0.43259399087619899</c:v>
                </c:pt>
                <c:pt idx="5">
                  <c:v>0.42404218433072799</c:v>
                </c:pt>
                <c:pt idx="6">
                  <c:v>0.43062200052189498</c:v>
                </c:pt>
                <c:pt idx="7">
                  <c:v>0.43301248251490898</c:v>
                </c:pt>
                <c:pt idx="8">
                  <c:v>0.43301248251490898</c:v>
                </c:pt>
                <c:pt idx="9">
                  <c:v>0.43301248251490898</c:v>
                </c:pt>
                <c:pt idx="10">
                  <c:v>0.43301248251490898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33-45DA-BA6B-348E8FAF1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579976"/>
        <c:axId val="383581288"/>
      </c:scatterChart>
      <c:valAx>
        <c:axId val="3835799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81288"/>
        <c:crosses val="autoZero"/>
        <c:crossBetween val="midCat"/>
      </c:valAx>
      <c:valAx>
        <c:axId val="38358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79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2672200349956252"/>
          <c:y val="0.62839020122484701"/>
          <c:w val="0.17466710411198599"/>
          <c:h val="0.2350295001425657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 of Iter (</a:t>
            </a:r>
            <a:r>
              <a:rPr lang="el-GR" sz="1400" b="0" i="0" u="none" strike="noStrike" baseline="0">
                <a:effectLst/>
              </a:rPr>
              <a:t>α</a:t>
            </a:r>
            <a:r>
              <a:rPr lang="en-US" sz="1400" b="0" i="0" u="none" strike="noStrike" baseline="0">
                <a:effectLst/>
              </a:rPr>
              <a:t>=13</a:t>
            </a:r>
            <a:r>
              <a:rPr lang="en-US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Accuracy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(Main!$P$80:$P$82,Main!$P$72,Main!$P$83:$P$90)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250</c:v>
                </c:pt>
                <c:pt idx="9">
                  <c:v>500</c:v>
                </c:pt>
                <c:pt idx="10">
                  <c:v>1000</c:v>
                </c:pt>
                <c:pt idx="11">
                  <c:v>10000</c:v>
                </c:pt>
              </c:numCache>
            </c:numRef>
          </c:xVal>
          <c:yVal>
            <c:numRef>
              <c:f>(Main!$T$80:$T$82,Main!$T$72,Main!$T$83:$T$90)</c:f>
              <c:numCache>
                <c:formatCode>General</c:formatCode>
                <c:ptCount val="12"/>
                <c:pt idx="0">
                  <c:v>0.90808510638297801</c:v>
                </c:pt>
                <c:pt idx="1">
                  <c:v>0.94723404255319099</c:v>
                </c:pt>
                <c:pt idx="2">
                  <c:v>0.99617021276595696</c:v>
                </c:pt>
                <c:pt idx="3">
                  <c:v>0.99106382978723395</c:v>
                </c:pt>
                <c:pt idx="4">
                  <c:v>0.95617021276595704</c:v>
                </c:pt>
                <c:pt idx="5">
                  <c:v>0.95446808510638204</c:v>
                </c:pt>
                <c:pt idx="6">
                  <c:v>0.92808510638297803</c:v>
                </c:pt>
                <c:pt idx="7">
                  <c:v>0.94212765957446798</c:v>
                </c:pt>
                <c:pt idx="8">
                  <c:v>0.91744680851063798</c:v>
                </c:pt>
                <c:pt idx="9">
                  <c:v>0.91106382978723399</c:v>
                </c:pt>
                <c:pt idx="10">
                  <c:v>0.90638297872340401</c:v>
                </c:pt>
                <c:pt idx="11">
                  <c:v>0.90893617021276596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5-418C-9181-9DDBF8648860}"/>
            </c:ext>
          </c:extLst>
        </c:ser>
        <c:ser>
          <c:idx val="1"/>
          <c:order val="1"/>
          <c:tx>
            <c:v>NMI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(Main!$P$80:$P$82,Main!$P$72,Main!$P$83:$P$90)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250</c:v>
                </c:pt>
                <c:pt idx="9">
                  <c:v>500</c:v>
                </c:pt>
                <c:pt idx="10">
                  <c:v>1000</c:v>
                </c:pt>
                <c:pt idx="11">
                  <c:v>10000</c:v>
                </c:pt>
              </c:numCache>
            </c:numRef>
          </c:xVal>
          <c:yVal>
            <c:numRef>
              <c:f>(Main!$U$80:$U$82,Main!$U$72,Main!$U$83:$U$90)</c:f>
              <c:numCache>
                <c:formatCode>General</c:formatCode>
                <c:ptCount val="12"/>
                <c:pt idx="0">
                  <c:v>0.94230093917972002</c:v>
                </c:pt>
                <c:pt idx="1">
                  <c:v>0.98398180264841595</c:v>
                </c:pt>
                <c:pt idx="2">
                  <c:v>0.99490608396595004</c:v>
                </c:pt>
                <c:pt idx="3">
                  <c:v>0.99161540782728796</c:v>
                </c:pt>
                <c:pt idx="4">
                  <c:v>0.98161421795607995</c:v>
                </c:pt>
                <c:pt idx="5">
                  <c:v>0.98619319589208299</c:v>
                </c:pt>
                <c:pt idx="6">
                  <c:v>0.97740073018491602</c:v>
                </c:pt>
                <c:pt idx="7">
                  <c:v>0.97698581578219701</c:v>
                </c:pt>
                <c:pt idx="8">
                  <c:v>0.96190912037774001</c:v>
                </c:pt>
                <c:pt idx="9">
                  <c:v>0.95558307348002802</c:v>
                </c:pt>
                <c:pt idx="10">
                  <c:v>0.948363295564988</c:v>
                </c:pt>
                <c:pt idx="11">
                  <c:v>0.96403201246563397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5-418C-9181-9DDBF8648860}"/>
            </c:ext>
          </c:extLst>
        </c:ser>
        <c:ser>
          <c:idx val="2"/>
          <c:order val="2"/>
          <c:tx>
            <c:v>ARI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(Main!$P$80:$P$82,Main!$P$72,Main!$P$83:$P$90)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25</c:v>
                </c:pt>
                <c:pt idx="6">
                  <c:v>50</c:v>
                </c:pt>
                <c:pt idx="7">
                  <c:v>100</c:v>
                </c:pt>
                <c:pt idx="8">
                  <c:v>250</c:v>
                </c:pt>
                <c:pt idx="9">
                  <c:v>500</c:v>
                </c:pt>
                <c:pt idx="10">
                  <c:v>1000</c:v>
                </c:pt>
                <c:pt idx="11">
                  <c:v>10000</c:v>
                </c:pt>
              </c:numCache>
            </c:numRef>
          </c:xVal>
          <c:yVal>
            <c:numRef>
              <c:f>(Main!$V$80:$V$82,Main!$V$72,Main!$V$83:$V$90)</c:f>
              <c:numCache>
                <c:formatCode>General</c:formatCode>
                <c:ptCount val="12"/>
                <c:pt idx="0">
                  <c:v>0.78106635877269204</c:v>
                </c:pt>
                <c:pt idx="1">
                  <c:v>0.94127136567154002</c:v>
                </c:pt>
                <c:pt idx="2">
                  <c:v>0.99196956676599601</c:v>
                </c:pt>
                <c:pt idx="3">
                  <c:v>0.98290884607250795</c:v>
                </c:pt>
                <c:pt idx="4">
                  <c:v>0.94603463057662895</c:v>
                </c:pt>
                <c:pt idx="5">
                  <c:v>0.95225290721308098</c:v>
                </c:pt>
                <c:pt idx="6">
                  <c:v>0.91497621080729197</c:v>
                </c:pt>
                <c:pt idx="7">
                  <c:v>0.92377620812404004</c:v>
                </c:pt>
                <c:pt idx="8">
                  <c:v>0.88475635150015497</c:v>
                </c:pt>
                <c:pt idx="9">
                  <c:v>0.84848870586716696</c:v>
                </c:pt>
                <c:pt idx="10">
                  <c:v>0.82479723468923205</c:v>
                </c:pt>
                <c:pt idx="11">
                  <c:v>0.889085662774598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C5-418C-9181-9DDBF8648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579976"/>
        <c:axId val="383581288"/>
      </c:scatterChart>
      <c:valAx>
        <c:axId val="3835799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81288"/>
        <c:crosses val="autoZero"/>
        <c:crossBetween val="midCat"/>
      </c:valAx>
      <c:valAx>
        <c:axId val="38358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79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2672200349956252"/>
          <c:y val="0.62839020122484701"/>
          <c:w val="0.17466710411198599"/>
          <c:h val="0.2356860071262041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SSC Accuracy vs Alpha &amp; Iter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5"/>
      <c:rotY val="3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8400918635170604E-2"/>
          <c:y val="0.10830686132044653"/>
          <c:w val="0.89196705311333557"/>
          <c:h val="0.69499280331893987"/>
        </c:manualLayout>
      </c:layout>
      <c:surface3DChart>
        <c:wireframe val="0"/>
        <c:ser>
          <c:idx val="0"/>
          <c:order val="0"/>
          <c:tx>
            <c:strRef>
              <c:f>'SSC1'!$B$2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'SSC1'!$C$2:$P$2</c:f>
              <c:numCache>
                <c:formatCode>General</c:formatCode>
                <c:ptCount val="14"/>
                <c:pt idx="0">
                  <c:v>1.8850978156650038E-2</c:v>
                </c:pt>
                <c:pt idx="1">
                  <c:v>-3.8572461799397828E-2</c:v>
                </c:pt>
                <c:pt idx="2">
                  <c:v>-0.10032620100429955</c:v>
                </c:pt>
                <c:pt idx="3">
                  <c:v>-0.18288704881855511</c:v>
                </c:pt>
                <c:pt idx="4">
                  <c:v>-0.24002568393593304</c:v>
                </c:pt>
                <c:pt idx="5">
                  <c:v>-0.23582688637674751</c:v>
                </c:pt>
                <c:pt idx="6">
                  <c:v>-0.15589307468585517</c:v>
                </c:pt>
                <c:pt idx="7">
                  <c:v>-3.099613223715221E-2</c:v>
                </c:pt>
                <c:pt idx="8">
                  <c:v>4.7249096838267057E-2</c:v>
                </c:pt>
                <c:pt idx="9">
                  <c:v>0.15560232310191455</c:v>
                </c:pt>
                <c:pt idx="10">
                  <c:v>-8.8029647509324987E-2</c:v>
                </c:pt>
                <c:pt idx="11">
                  <c:v>3.0513029764919358E-2</c:v>
                </c:pt>
                <c:pt idx="12">
                  <c:v>2.7956393716033784E-2</c:v>
                </c:pt>
                <c:pt idx="13">
                  <c:v>8.1818519371322285E-2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D3-4AB4-A593-B1B4EB7BD4F0}"/>
            </c:ext>
          </c:extLst>
        </c:ser>
        <c:ser>
          <c:idx val="1"/>
          <c:order val="1"/>
          <c:tx>
            <c:strRef>
              <c:f>'SSC1'!$B$3</c:f>
              <c:strCache>
                <c:ptCount val="1"/>
                <c:pt idx="0">
                  <c:v>1.25992105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'SSC1'!$C$3:$P$3</c:f>
              <c:numCache>
                <c:formatCode>General</c:formatCode>
                <c:ptCount val="14"/>
                <c:pt idx="0">
                  <c:v>1.9065704124131451E-2</c:v>
                </c:pt>
                <c:pt idx="1">
                  <c:v>-2.9973690154555772E-2</c:v>
                </c:pt>
                <c:pt idx="2">
                  <c:v>-8.3582229467060537E-2</c:v>
                </c:pt>
                <c:pt idx="3">
                  <c:v>-0.13559585311314437</c:v>
                </c:pt>
                <c:pt idx="4">
                  <c:v>-0.16904984793112934</c:v>
                </c:pt>
                <c:pt idx="5">
                  <c:v>-0.15319792021050452</c:v>
                </c:pt>
                <c:pt idx="6">
                  <c:v>-7.2018029299685635E-2</c:v>
                </c:pt>
                <c:pt idx="7">
                  <c:v>4.8978283691962957E-2</c:v>
                </c:pt>
                <c:pt idx="8">
                  <c:v>0.12934017842073825</c:v>
                </c:pt>
                <c:pt idx="9">
                  <c:v>0.20331831262128919</c:v>
                </c:pt>
                <c:pt idx="10">
                  <c:v>-4.2365954619108546E-2</c:v>
                </c:pt>
                <c:pt idx="11">
                  <c:v>6.2405478047458163E-2</c:v>
                </c:pt>
                <c:pt idx="12">
                  <c:v>5.5160614808992203E-2</c:v>
                </c:pt>
                <c:pt idx="13">
                  <c:v>0.10399261797939674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D3-4AB4-A593-B1B4EB7BD4F0}"/>
            </c:ext>
          </c:extLst>
        </c:ser>
        <c:ser>
          <c:idx val="2"/>
          <c:order val="2"/>
          <c:tx>
            <c:strRef>
              <c:f>'SSC1'!$B$4</c:f>
              <c:strCache>
                <c:ptCount val="1"/>
                <c:pt idx="0">
                  <c:v>1.587401052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'SSC1'!$C$4:$P$4</c:f>
              <c:numCache>
                <c:formatCode>General</c:formatCode>
                <c:ptCount val="14"/>
                <c:pt idx="0">
                  <c:v>1.9359909087792372E-2</c:v>
                </c:pt>
                <c:pt idx="1">
                  <c:v>-1.8888664493730133E-2</c:v>
                </c:pt>
                <c:pt idx="2">
                  <c:v>-6.2590219363053354E-2</c:v>
                </c:pt>
                <c:pt idx="3">
                  <c:v>-7.6012680169199445E-2</c:v>
                </c:pt>
                <c:pt idx="4">
                  <c:v>-7.96258981147909E-2</c:v>
                </c:pt>
                <c:pt idx="5">
                  <c:v>-4.9091946406603693E-2</c:v>
                </c:pt>
                <c:pt idx="6">
                  <c:v>3.3657905943239842E-2</c:v>
                </c:pt>
                <c:pt idx="7">
                  <c:v>0.14973973377409849</c:v>
                </c:pt>
                <c:pt idx="8">
                  <c:v>0.23238851101119565</c:v>
                </c:pt>
                <c:pt idx="9">
                  <c:v>0.26343669223219862</c:v>
                </c:pt>
                <c:pt idx="10">
                  <c:v>1.5166479087733217E-2</c:v>
                </c:pt>
                <c:pt idx="11">
                  <c:v>0.10257651865998411</c:v>
                </c:pt>
                <c:pt idx="12">
                  <c:v>8.9430028590256019E-2</c:v>
                </c:pt>
                <c:pt idx="13">
                  <c:v>0.13193023192324163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D3-4AB4-A593-B1B4EB7BD4F0}"/>
            </c:ext>
          </c:extLst>
        </c:ser>
        <c:ser>
          <c:idx val="3"/>
          <c:order val="3"/>
          <c:tx>
            <c:strRef>
              <c:f>'SSC1'!$B$5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'SSC1'!$C$5:$P$5</c:f>
              <c:numCache>
                <c:formatCode>General</c:formatCode>
                <c:ptCount val="14"/>
                <c:pt idx="0">
                  <c:v>1.9762526881484967E-2</c:v>
                </c:pt>
                <c:pt idx="1">
                  <c:v>-4.1124028678011541E-3</c:v>
                </c:pt>
                <c:pt idx="2">
                  <c:v>-3.5890874426484524E-2</c:v>
                </c:pt>
                <c:pt idx="3">
                  <c:v>-1.2633999961348156E-3</c:v>
                </c:pt>
                <c:pt idx="4">
                  <c:v>3.3041218623556287E-2</c:v>
                </c:pt>
                <c:pt idx="5">
                  <c:v>8.207336140873546E-2</c:v>
                </c:pt>
                <c:pt idx="6">
                  <c:v>0.16680124122314291</c:v>
                </c:pt>
                <c:pt idx="7">
                  <c:v>0.27669120575049261</c:v>
                </c:pt>
                <c:pt idx="8">
                  <c:v>0.36050396444283039</c:v>
                </c:pt>
                <c:pt idx="9">
                  <c:v>0.33918110418385422</c:v>
                </c:pt>
                <c:pt idx="10">
                  <c:v>8.7651835301824035E-2</c:v>
                </c:pt>
                <c:pt idx="11">
                  <c:v>0.1531394731193694</c:v>
                </c:pt>
                <c:pt idx="12">
                  <c:v>0.13258076352710088</c:v>
                </c:pt>
                <c:pt idx="13">
                  <c:v>0.16712942158684199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D3-4AB4-A593-B1B4EB7BD4F0}"/>
            </c:ext>
          </c:extLst>
        </c:ser>
        <c:ser>
          <c:idx val="4"/>
          <c:order val="4"/>
          <c:tx>
            <c:strRef>
              <c:f>'SSC1'!$B$6</c:f>
              <c:strCache>
                <c:ptCount val="1"/>
                <c:pt idx="0">
                  <c:v>2.5198421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'SSC1'!$C$6:$P$6</c:f>
              <c:numCache>
                <c:formatCode>General</c:formatCode>
                <c:ptCount val="14"/>
                <c:pt idx="0">
                  <c:v>2.0263701492890477E-2</c:v>
                </c:pt>
                <c:pt idx="1">
                  <c:v>1.6371635288245E-2</c:v>
                </c:pt>
                <c:pt idx="2">
                  <c:v>-3.6101079650378154E-4</c:v>
                </c:pt>
                <c:pt idx="3">
                  <c:v>9.2314213844994705E-2</c:v>
                </c:pt>
                <c:pt idx="4">
                  <c:v>0.17447086772014014</c:v>
                </c:pt>
                <c:pt idx="5">
                  <c:v>0.24733129374122104</c:v>
                </c:pt>
                <c:pt idx="6">
                  <c:v>0.33455133199555165</c:v>
                </c:pt>
                <c:pt idx="7">
                  <c:v>0.4366400376086233</c:v>
                </c:pt>
                <c:pt idx="8">
                  <c:v>0.51607217469802735</c:v>
                </c:pt>
                <c:pt idx="9">
                  <c:v>0.43461308319311159</c:v>
                </c:pt>
                <c:pt idx="10">
                  <c:v>0.17897436531280897</c:v>
                </c:pt>
                <c:pt idx="11">
                  <c:v>0.21667665561814489</c:v>
                </c:pt>
                <c:pt idx="12">
                  <c:v>0.1868586861831415</c:v>
                </c:pt>
                <c:pt idx="13">
                  <c:v>0.21147762798241024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D3-4AB4-A593-B1B4EB7BD4F0}"/>
            </c:ext>
          </c:extLst>
        </c:ser>
        <c:ser>
          <c:idx val="5"/>
          <c:order val="5"/>
          <c:tx>
            <c:strRef>
              <c:f>'SSC1'!$B$7</c:f>
              <c:strCache>
                <c:ptCount val="1"/>
                <c:pt idx="0">
                  <c:v>3.174802104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'SSC1'!$C$7:$P$7</c:f>
              <c:numCache>
                <c:formatCode>General</c:formatCode>
                <c:ptCount val="14"/>
                <c:pt idx="0">
                  <c:v>2.0702869870627822E-2</c:v>
                </c:pt>
                <c:pt idx="1">
                  <c:v>4.5941272174000486E-2</c:v>
                </c:pt>
                <c:pt idx="2">
                  <c:v>5.315332886148174E-2</c:v>
                </c:pt>
                <c:pt idx="3">
                  <c:v>0.2078709449852098</c:v>
                </c:pt>
                <c:pt idx="4">
                  <c:v>0.34846126771822472</c:v>
                </c:pt>
                <c:pt idx="5">
                  <c:v>0.45205643861149097</c:v>
                </c:pt>
                <c:pt idx="6">
                  <c:v>0.54025721345917899</c:v>
                </c:pt>
                <c:pt idx="7">
                  <c:v>0.62956744032878165</c:v>
                </c:pt>
                <c:pt idx="8">
                  <c:v>0.69430235915049432</c:v>
                </c:pt>
                <c:pt idx="9">
                  <c:v>0.55273473846572607</c:v>
                </c:pt>
                <c:pt idx="10">
                  <c:v>0.29330662992230505</c:v>
                </c:pt>
                <c:pt idx="11">
                  <c:v>0.29621737195793163</c:v>
                </c:pt>
                <c:pt idx="12">
                  <c:v>0.25497527767008549</c:v>
                </c:pt>
                <c:pt idx="13">
                  <c:v>0.26729179039452006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1D3-4AB4-A593-B1B4EB7BD4F0}"/>
            </c:ext>
          </c:extLst>
        </c:ser>
        <c:ser>
          <c:idx val="6"/>
          <c:order val="6"/>
          <c:tx>
            <c:strRef>
              <c:f>'SSC1'!$B$8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'SSC1'!$C$8:$P$8</c:f>
              <c:numCache>
                <c:formatCode>General</c:formatCode>
                <c:ptCount val="14"/>
                <c:pt idx="0">
                  <c:v>2.1907568188333417E-2</c:v>
                </c:pt>
                <c:pt idx="1">
                  <c:v>9.0210518901572279E-2</c:v>
                </c:pt>
                <c:pt idx="2">
                  <c:v>0.15248280406279321</c:v>
                </c:pt>
                <c:pt idx="3">
                  <c:v>0.34721713785110153</c:v>
                </c:pt>
                <c:pt idx="4">
                  <c:v>0.55116853842915092</c:v>
                </c:pt>
                <c:pt idx="5">
                  <c:v>0.68833307563344515</c:v>
                </c:pt>
                <c:pt idx="6">
                  <c:v>0.77732334461450225</c:v>
                </c:pt>
                <c:pt idx="7">
                  <c:v>0.83379044490179155</c:v>
                </c:pt>
                <c:pt idx="8">
                  <c:v>0.86799277561961519</c:v>
                </c:pt>
                <c:pt idx="9">
                  <c:v>0.69199876277835493</c:v>
                </c:pt>
                <c:pt idx="10">
                  <c:v>0.43408733480005451</c:v>
                </c:pt>
                <c:pt idx="11">
                  <c:v>0.39496963879279212</c:v>
                </c:pt>
                <c:pt idx="12">
                  <c:v>0.34002608430941339</c:v>
                </c:pt>
                <c:pt idx="13">
                  <c:v>0.33733714083535848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1D3-4AB4-A593-B1B4EB7BD4F0}"/>
            </c:ext>
          </c:extLst>
        </c:ser>
        <c:ser>
          <c:idx val="7"/>
          <c:order val="7"/>
          <c:tx>
            <c:strRef>
              <c:f>'SSC1'!$B$9</c:f>
              <c:strCache>
                <c:ptCount val="1"/>
                <c:pt idx="0">
                  <c:v>5.0396842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'SSC1'!$C$9:$P$9</c:f>
              <c:numCache>
                <c:formatCode>General</c:formatCode>
                <c:ptCount val="14"/>
                <c:pt idx="0">
                  <c:v>3.7578636695219256E-2</c:v>
                </c:pt>
                <c:pt idx="1">
                  <c:v>0.15826125880717426</c:v>
                </c:pt>
                <c:pt idx="2">
                  <c:v>0.37943874792839732</c:v>
                </c:pt>
                <c:pt idx="3">
                  <c:v>0.50902621048645358</c:v>
                </c:pt>
                <c:pt idx="4">
                  <c:v>0.75717870928188213</c:v>
                </c:pt>
                <c:pt idx="5">
                  <c:v>0.91702782004920835</c:v>
                </c:pt>
                <c:pt idx="6">
                  <c:v>0.96598561149480366</c:v>
                </c:pt>
                <c:pt idx="7">
                  <c:v>0.9780683477465566</c:v>
                </c:pt>
                <c:pt idx="8">
                  <c:v>0.94649747533429729</c:v>
                </c:pt>
                <c:pt idx="9">
                  <c:v>0.83491049482168167</c:v>
                </c:pt>
                <c:pt idx="10">
                  <c:v>0.6003483104585825</c:v>
                </c:pt>
                <c:pt idx="11">
                  <c:v>0.51535414231758203</c:v>
                </c:pt>
                <c:pt idx="12">
                  <c:v>0.44505706572646381</c:v>
                </c:pt>
                <c:pt idx="13">
                  <c:v>0.42464868520128307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1D3-4AB4-A593-B1B4EB7BD4F0}"/>
            </c:ext>
          </c:extLst>
        </c:ser>
        <c:ser>
          <c:idx val="8"/>
          <c:order val="8"/>
          <c:tx>
            <c:strRef>
              <c:f>'SSC1'!$B$10</c:f>
              <c:strCache>
                <c:ptCount val="1"/>
                <c:pt idx="0">
                  <c:v>6.349604208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'SSC1'!$C$10:$P$10</c:f>
              <c:numCache>
                <c:formatCode>General</c:formatCode>
                <c:ptCount val="14"/>
                <c:pt idx="0">
                  <c:v>0.11626033833480634</c:v>
                </c:pt>
                <c:pt idx="1">
                  <c:v>0.26390383506895876</c:v>
                </c:pt>
                <c:pt idx="2">
                  <c:v>0.70928161458270766</c:v>
                </c:pt>
                <c:pt idx="3">
                  <c:v>0.68570807735957739</c:v>
                </c:pt>
                <c:pt idx="4">
                  <c:v>0.88539738553719216</c:v>
                </c:pt>
                <c:pt idx="5">
                  <c:v>1.0228073338686539</c:v>
                </c:pt>
                <c:pt idx="6">
                  <c:v>1.0347790719078531</c:v>
                </c:pt>
                <c:pt idx="7">
                  <c:v>1.0368340412282755</c:v>
                </c:pt>
                <c:pt idx="8">
                  <c:v>1.0015986800359551</c:v>
                </c:pt>
                <c:pt idx="9">
                  <c:v>0.91602644496551155</c:v>
                </c:pt>
                <c:pt idx="10">
                  <c:v>0.77607568025393137</c:v>
                </c:pt>
                <c:pt idx="11">
                  <c:v>0.65616086397518203</c:v>
                </c:pt>
                <c:pt idx="12">
                  <c:v>0.57166136819212388</c:v>
                </c:pt>
                <c:pt idx="13">
                  <c:v>0.53179677763934763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1D3-4AB4-A593-B1B4EB7BD4F0}"/>
            </c:ext>
          </c:extLst>
        </c:ser>
        <c:ser>
          <c:idx val="9"/>
          <c:order val="9"/>
          <c:tx>
            <c:strRef>
              <c:f>'SSC1'!$B$11</c:f>
              <c:strCache>
                <c:ptCount val="1"/>
                <c:pt idx="0">
                  <c:v>8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'SSC1'!$C$11:$P$11</c:f>
              <c:numCache>
                <c:formatCode>General</c:formatCode>
                <c:ptCount val="14"/>
                <c:pt idx="0">
                  <c:v>0.29826919284569414</c:v>
                </c:pt>
                <c:pt idx="1">
                  <c:v>0.42535006458876051</c:v>
                </c:pt>
                <c:pt idx="2">
                  <c:v>0.93177672846727255</c:v>
                </c:pt>
                <c:pt idx="3">
                  <c:v>0.8590938403875239</c:v>
                </c:pt>
                <c:pt idx="4">
                  <c:v>0.92571330238081118</c:v>
                </c:pt>
                <c:pt idx="5">
                  <c:v>1.0060390292993053</c:v>
                </c:pt>
                <c:pt idx="6">
                  <c:v>0.95165674124773758</c:v>
                </c:pt>
                <c:pt idx="7">
                  <c:v>0.9708677063220571</c:v>
                </c:pt>
                <c:pt idx="8">
                  <c:v>0.99742980967048678</c:v>
                </c:pt>
                <c:pt idx="9">
                  <c:v>0.96605556670271509</c:v>
                </c:pt>
                <c:pt idx="10">
                  <c:v>0.9009400992944967</c:v>
                </c:pt>
                <c:pt idx="11">
                  <c:v>0.80478137856719512</c:v>
                </c:pt>
                <c:pt idx="12">
                  <c:v>0.71600616284105612</c:v>
                </c:pt>
                <c:pt idx="13">
                  <c:v>0.65861683515782354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1D3-4AB4-A593-B1B4EB7BD4F0}"/>
            </c:ext>
          </c:extLst>
        </c:ser>
        <c:ser>
          <c:idx val="10"/>
          <c:order val="10"/>
          <c:tx>
            <c:strRef>
              <c:f>'SSC1'!$B$12</c:f>
              <c:strCache>
                <c:ptCount val="1"/>
                <c:pt idx="0">
                  <c:v>10.0793684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'SSC1'!$C$12:$P$12</c:f>
              <c:numCache>
                <c:formatCode>General</c:formatCode>
                <c:ptCount val="14"/>
                <c:pt idx="0">
                  <c:v>0.605102729987954</c:v>
                </c:pt>
                <c:pt idx="1">
                  <c:v>0.65713040309973381</c:v>
                </c:pt>
                <c:pt idx="2">
                  <c:v>0.96307222399191006</c:v>
                </c:pt>
                <c:pt idx="3">
                  <c:v>0.99536713256460685</c:v>
                </c:pt>
                <c:pt idx="4">
                  <c:v>0.93460211545689387</c:v>
                </c:pt>
                <c:pt idx="5">
                  <c:v>0.96955358847076367</c:v>
                </c:pt>
                <c:pt idx="6">
                  <c:v>0.96133720160004854</c:v>
                </c:pt>
                <c:pt idx="7">
                  <c:v>0.93675341856547745</c:v>
                </c:pt>
                <c:pt idx="8">
                  <c:v>0.94630947579384828</c:v>
                </c:pt>
                <c:pt idx="9">
                  <c:v>0.97216227243770814</c:v>
                </c:pt>
                <c:pt idx="10">
                  <c:v>0.95663377943645023</c:v>
                </c:pt>
                <c:pt idx="11">
                  <c:v>0.91670111057136749</c:v>
                </c:pt>
                <c:pt idx="12">
                  <c:v>0.85817788942574746</c:v>
                </c:pt>
                <c:pt idx="13">
                  <c:v>0.79583766773211395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1D3-4AB4-A593-B1B4EB7BD4F0}"/>
            </c:ext>
          </c:extLst>
        </c:ser>
        <c:ser>
          <c:idx val="11"/>
          <c:order val="11"/>
          <c:tx>
            <c:strRef>
              <c:f>'SSC1'!$B$13</c:f>
              <c:strCache>
                <c:ptCount val="1"/>
                <c:pt idx="0">
                  <c:v>12.69920842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'SSC1'!$C$13:$P$13</c:f>
              <c:numCache>
                <c:formatCode>General</c:formatCode>
                <c:ptCount val="14"/>
                <c:pt idx="0">
                  <c:v>0.92434413014682448</c:v>
                </c:pt>
                <c:pt idx="1">
                  <c:v>0.93497648150169443</c:v>
                </c:pt>
                <c:pt idx="2">
                  <c:v>0.92759274841800532</c:v>
                </c:pt>
                <c:pt idx="3">
                  <c:v>1.0445904536397299</c:v>
                </c:pt>
                <c:pt idx="4">
                  <c:v>0.96912450541560946</c:v>
                </c:pt>
                <c:pt idx="5">
                  <c:v>0.97670989175702483</c:v>
                </c:pt>
                <c:pt idx="6">
                  <c:v>0.97815606302413627</c:v>
                </c:pt>
                <c:pt idx="7">
                  <c:v>0.96796775410953106</c:v>
                </c:pt>
                <c:pt idx="8">
                  <c:v>0.92665761190540674</c:v>
                </c:pt>
                <c:pt idx="9">
                  <c:v>0.93170574991823174</c:v>
                </c:pt>
                <c:pt idx="10">
                  <c:v>0.95225814731758873</c:v>
                </c:pt>
                <c:pt idx="11">
                  <c:v>0.95150672197265729</c:v>
                </c:pt>
                <c:pt idx="12">
                  <c:v>0.93433957826801373</c:v>
                </c:pt>
                <c:pt idx="13">
                  <c:v>0.90796141229687621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1D3-4AB4-A593-B1B4EB7BD4F0}"/>
            </c:ext>
          </c:extLst>
        </c:ser>
        <c:ser>
          <c:idx val="12"/>
          <c:order val="12"/>
          <c:tx>
            <c:strRef>
              <c:f>'SSC1'!$B$14</c:f>
              <c:strCache>
                <c:ptCount val="1"/>
                <c:pt idx="0">
                  <c:v>16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'SSC1'!$C$14:$P$14</c:f>
              <c:numCache>
                <c:formatCode>General</c:formatCode>
                <c:ptCount val="14"/>
                <c:pt idx="0">
                  <c:v>0.63149874359380631</c:v>
                </c:pt>
                <c:pt idx="1">
                  <c:v>1.0781231845569594</c:v>
                </c:pt>
                <c:pt idx="2">
                  <c:v>0.97489046495090648</c:v>
                </c:pt>
                <c:pt idx="3">
                  <c:v>0.96651002930895447</c:v>
                </c:pt>
                <c:pt idx="4">
                  <c:v>0.96280508169580226</c:v>
                </c:pt>
                <c:pt idx="5">
                  <c:v>0.94121685763730223</c:v>
                </c:pt>
                <c:pt idx="6">
                  <c:v>0.89837597288315141</c:v>
                </c:pt>
                <c:pt idx="7">
                  <c:v>0.90695408352559015</c:v>
                </c:pt>
                <c:pt idx="8">
                  <c:v>0.87770803854885315</c:v>
                </c:pt>
                <c:pt idx="9">
                  <c:v>0.85621571882142855</c:v>
                </c:pt>
                <c:pt idx="10">
                  <c:v>0.86289365589603206</c:v>
                </c:pt>
                <c:pt idx="11">
                  <c:v>0.86980340473675977</c:v>
                </c:pt>
                <c:pt idx="12">
                  <c:v>0.87812863432387023</c:v>
                </c:pt>
                <c:pt idx="13">
                  <c:v>0.88829378957208416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1D3-4AB4-A593-B1B4EB7BD4F0}"/>
            </c:ext>
          </c:extLst>
        </c:ser>
        <c:ser>
          <c:idx val="13"/>
          <c:order val="13"/>
          <c:tx>
            <c:strRef>
              <c:f>'SSC1'!$B$15</c:f>
              <c:strCache>
                <c:ptCount val="1"/>
                <c:pt idx="0">
                  <c:v>20.1587368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'SSC1'!$C$15:$P$15</c:f>
              <c:numCache>
                <c:formatCode>General</c:formatCode>
                <c:ptCount val="14"/>
                <c:pt idx="0">
                  <c:v>0.9068670764489879</c:v>
                </c:pt>
                <c:pt idx="1">
                  <c:v>1.0104175978525505</c:v>
                </c:pt>
                <c:pt idx="2">
                  <c:v>0.90796787873678475</c:v>
                </c:pt>
                <c:pt idx="3">
                  <c:v>1.0033178333393211</c:v>
                </c:pt>
                <c:pt idx="4">
                  <c:v>0.96979569305627622</c:v>
                </c:pt>
                <c:pt idx="5">
                  <c:v>0.86448990835042705</c:v>
                </c:pt>
                <c:pt idx="6">
                  <c:v>0.81661388988918926</c:v>
                </c:pt>
                <c:pt idx="7">
                  <c:v>0.71221493188675333</c:v>
                </c:pt>
                <c:pt idx="8">
                  <c:v>0.7867288838803469</c:v>
                </c:pt>
                <c:pt idx="9">
                  <c:v>0.7394133927940969</c:v>
                </c:pt>
                <c:pt idx="10">
                  <c:v>0.69557032469008628</c:v>
                </c:pt>
                <c:pt idx="11">
                  <c:v>0.67935890654871978</c:v>
                </c:pt>
                <c:pt idx="12">
                  <c:v>0.70485603841288325</c:v>
                </c:pt>
                <c:pt idx="13">
                  <c:v>0.73903361477144558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1D3-4AB4-A593-B1B4EB7BD4F0}"/>
            </c:ext>
          </c:extLst>
        </c:ser>
        <c:ser>
          <c:idx val="14"/>
          <c:order val="14"/>
          <c:tx>
            <c:strRef>
              <c:f>'SSC1'!$B$16</c:f>
              <c:strCache>
                <c:ptCount val="1"/>
                <c:pt idx="0">
                  <c:v>25.39841683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'SSC1'!$C$16:$P$16</c:f>
              <c:numCache>
                <c:formatCode>General</c:formatCode>
                <c:ptCount val="14"/>
                <c:pt idx="0">
                  <c:v>1.1426741485080478</c:v>
                </c:pt>
                <c:pt idx="1">
                  <c:v>0.97957372138024412</c:v>
                </c:pt>
                <c:pt idx="2">
                  <c:v>0.91096311989694823</c:v>
                </c:pt>
                <c:pt idx="3">
                  <c:v>1.0214674779512412</c:v>
                </c:pt>
                <c:pt idx="4">
                  <c:v>0.89149954465351722</c:v>
                </c:pt>
                <c:pt idx="5">
                  <c:v>0.6945485656180499</c:v>
                </c:pt>
                <c:pt idx="6">
                  <c:v>0.72692131721940878</c:v>
                </c:pt>
                <c:pt idx="7">
                  <c:v>0.59620682500060496</c:v>
                </c:pt>
                <c:pt idx="8">
                  <c:v>0.67537671065212335</c:v>
                </c:pt>
                <c:pt idx="9">
                  <c:v>0.61267373323449703</c:v>
                </c:pt>
                <c:pt idx="10">
                  <c:v>0.57288904401554586</c:v>
                </c:pt>
                <c:pt idx="11">
                  <c:v>0.57577016078180443</c:v>
                </c:pt>
                <c:pt idx="12">
                  <c:v>0.59349480148574041</c:v>
                </c:pt>
                <c:pt idx="13">
                  <c:v>0.61321790376274232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D1D3-4AB4-A593-B1B4EB7BD4F0}"/>
            </c:ext>
          </c:extLst>
        </c:ser>
        <c:ser>
          <c:idx val="15"/>
          <c:order val="15"/>
          <c:tx>
            <c:strRef>
              <c:f>'SSC1'!$B$17</c:f>
              <c:strCache>
                <c:ptCount val="1"/>
                <c:pt idx="0">
                  <c:v>32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'SSC1'!$C$17:$P$17</c:f>
              <c:numCache>
                <c:formatCode>General</c:formatCode>
                <c:ptCount val="14"/>
                <c:pt idx="0">
                  <c:v>0.9975862044407513</c:v>
                </c:pt>
                <c:pt idx="1">
                  <c:v>0.997853947074268</c:v>
                </c:pt>
                <c:pt idx="2">
                  <c:v>0.99784478806698906</c:v>
                </c:pt>
                <c:pt idx="3">
                  <c:v>1.0121653740127556</c:v>
                </c:pt>
                <c:pt idx="4">
                  <c:v>0.84198381246239862</c:v>
                </c:pt>
                <c:pt idx="5">
                  <c:v>0.62205224109444646</c:v>
                </c:pt>
                <c:pt idx="6">
                  <c:v>0.64117619281726335</c:v>
                </c:pt>
                <c:pt idx="7">
                  <c:v>0.58226615450063635</c:v>
                </c:pt>
                <c:pt idx="8">
                  <c:v>0.57794804873099981</c:v>
                </c:pt>
                <c:pt idx="9">
                  <c:v>0.51212498938069184</c:v>
                </c:pt>
                <c:pt idx="10">
                  <c:v>0.50883592810396461</c:v>
                </c:pt>
                <c:pt idx="11">
                  <c:v>0.52536486670411064</c:v>
                </c:pt>
                <c:pt idx="12">
                  <c:v>0.53678687544525661</c:v>
                </c:pt>
                <c:pt idx="13">
                  <c:v>0.54873309952356997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D1D3-4AB4-A593-B1B4EB7BD4F0}"/>
            </c:ext>
          </c:extLst>
        </c:ser>
        <c:ser>
          <c:idx val="16"/>
          <c:order val="16"/>
          <c:tx>
            <c:strRef>
              <c:f>'SSC1'!$B$18</c:f>
              <c:strCache>
                <c:ptCount val="1"/>
                <c:pt idx="0">
                  <c:v>40.3174736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'SSC1'!$C$18:$P$18</c:f>
              <c:numCache>
                <c:formatCode>General</c:formatCode>
                <c:ptCount val="14"/>
                <c:pt idx="0">
                  <c:v>0.97025970292293318</c:v>
                </c:pt>
                <c:pt idx="1">
                  <c:v>1.0046874518403379</c:v>
                </c:pt>
                <c:pt idx="2">
                  <c:v>1.0429854003808114</c:v>
                </c:pt>
                <c:pt idx="3">
                  <c:v>0.99720345395993137</c:v>
                </c:pt>
                <c:pt idx="4">
                  <c:v>0.75950653809424573</c:v>
                </c:pt>
                <c:pt idx="5">
                  <c:v>0.5791560611134523</c:v>
                </c:pt>
                <c:pt idx="6">
                  <c:v>0.57226149784646674</c:v>
                </c:pt>
                <c:pt idx="7">
                  <c:v>0.56715467588921975</c:v>
                </c:pt>
                <c:pt idx="8">
                  <c:v>0.52860792645761545</c:v>
                </c:pt>
                <c:pt idx="9">
                  <c:v>0.45584306788259626</c:v>
                </c:pt>
                <c:pt idx="10">
                  <c:v>0.50906078416700573</c:v>
                </c:pt>
                <c:pt idx="11">
                  <c:v>0.5575459532929179</c:v>
                </c:pt>
                <c:pt idx="12">
                  <c:v>0.58386256253497326</c:v>
                </c:pt>
                <c:pt idx="13">
                  <c:v>0.57565275697378016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D1D3-4AB4-A593-B1B4EB7BD4F0}"/>
            </c:ext>
          </c:extLst>
        </c:ser>
        <c:ser>
          <c:idx val="17"/>
          <c:order val="17"/>
          <c:tx>
            <c:strRef>
              <c:f>'SSC1'!$B$19</c:f>
              <c:strCache>
                <c:ptCount val="1"/>
                <c:pt idx="0">
                  <c:v>50.79683366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'SSC1'!$C$19:$P$19</c:f>
              <c:numCache>
                <c:formatCode>General</c:formatCode>
                <c:ptCount val="14"/>
                <c:pt idx="0">
                  <c:v>1.0320318653880469</c:v>
                </c:pt>
                <c:pt idx="1">
                  <c:v>0.99469051650367735</c:v>
                </c:pt>
                <c:pt idx="2">
                  <c:v>1.0094414792971436</c:v>
                </c:pt>
                <c:pt idx="3">
                  <c:v>0.97268550505301887</c:v>
                </c:pt>
                <c:pt idx="4">
                  <c:v>0.65043189392884815</c:v>
                </c:pt>
                <c:pt idx="5">
                  <c:v>0.58031404870027736</c:v>
                </c:pt>
                <c:pt idx="6">
                  <c:v>0.52221823241369247</c:v>
                </c:pt>
                <c:pt idx="7">
                  <c:v>0.55221500236378696</c:v>
                </c:pt>
                <c:pt idx="8">
                  <c:v>0.551525211577368</c:v>
                </c:pt>
                <c:pt idx="9">
                  <c:v>0.44343584606439107</c:v>
                </c:pt>
                <c:pt idx="10">
                  <c:v>0.55082952796408824</c:v>
                </c:pt>
                <c:pt idx="11">
                  <c:v>0.57014177197001414</c:v>
                </c:pt>
                <c:pt idx="12">
                  <c:v>0.57613553045204735</c:v>
                </c:pt>
                <c:pt idx="13">
                  <c:v>0.57232683696729392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D1D3-4AB4-A593-B1B4EB7BD4F0}"/>
            </c:ext>
          </c:extLst>
        </c:ser>
        <c:ser>
          <c:idx val="18"/>
          <c:order val="18"/>
          <c:tx>
            <c:strRef>
              <c:f>'SSC1'!$B$20</c:f>
              <c:strCache>
                <c:ptCount val="1"/>
                <c:pt idx="0">
                  <c:v>64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'SSC1'!$C$20:$P$20</c:f>
              <c:numCache>
                <c:formatCode>General</c:formatCode>
                <c:ptCount val="14"/>
                <c:pt idx="0">
                  <c:v>1.0667966565759683</c:v>
                </c:pt>
                <c:pt idx="1">
                  <c:v>0.97708899109383218</c:v>
                </c:pt>
                <c:pt idx="2">
                  <c:v>0.88224912209853967</c:v>
                </c:pt>
                <c:pt idx="3">
                  <c:v>0.93245197596661444</c:v>
                </c:pt>
                <c:pt idx="4">
                  <c:v>0.58231674897340968</c:v>
                </c:pt>
                <c:pt idx="5">
                  <c:v>0.59469363528325681</c:v>
                </c:pt>
                <c:pt idx="6">
                  <c:v>0.51159415328438118</c:v>
                </c:pt>
                <c:pt idx="7">
                  <c:v>0.53991774024740535</c:v>
                </c:pt>
                <c:pt idx="8">
                  <c:v>0.563397033024296</c:v>
                </c:pt>
                <c:pt idx="9">
                  <c:v>0.45236931347348436</c:v>
                </c:pt>
                <c:pt idx="10">
                  <c:v>0.52354236758121075</c:v>
                </c:pt>
                <c:pt idx="11">
                  <c:v>0.53530376770421029</c:v>
                </c:pt>
                <c:pt idx="12">
                  <c:v>0.54974924226796318</c:v>
                </c:pt>
                <c:pt idx="13">
                  <c:v>0.5488132170777863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D1D3-4AB4-A593-B1B4EB7BD4F0}"/>
            </c:ext>
          </c:extLst>
        </c:ser>
        <c:ser>
          <c:idx val="19"/>
          <c:order val="19"/>
          <c:tx>
            <c:strRef>
              <c:f>'SSC1'!$B$21</c:f>
              <c:strCache>
                <c:ptCount val="1"/>
                <c:pt idx="0">
                  <c:v>80.63494719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'SSC1'!$C$21:$P$21</c:f>
              <c:numCache>
                <c:formatCode>General</c:formatCode>
                <c:ptCount val="14"/>
                <c:pt idx="0">
                  <c:v>1.0532836435508042</c:v>
                </c:pt>
                <c:pt idx="1">
                  <c:v>0.94820843032967894</c:v>
                </c:pt>
                <c:pt idx="2">
                  <c:v>0.78045845529146407</c:v>
                </c:pt>
                <c:pt idx="3">
                  <c:v>0.86799963038581662</c:v>
                </c:pt>
                <c:pt idx="4">
                  <c:v>0.5782116388324533</c:v>
                </c:pt>
                <c:pt idx="5">
                  <c:v>0.61000625289727017</c:v>
                </c:pt>
                <c:pt idx="6">
                  <c:v>0.55086003437310427</c:v>
                </c:pt>
                <c:pt idx="7">
                  <c:v>0.53728126255361131</c:v>
                </c:pt>
                <c:pt idx="8">
                  <c:v>0.56505578243347876</c:v>
                </c:pt>
                <c:pt idx="9">
                  <c:v>0.47070555382467438</c:v>
                </c:pt>
                <c:pt idx="10">
                  <c:v>0.49993916965373592</c:v>
                </c:pt>
                <c:pt idx="11">
                  <c:v>0.51431382521194513</c:v>
                </c:pt>
                <c:pt idx="12">
                  <c:v>0.51567746958229432</c:v>
                </c:pt>
                <c:pt idx="13">
                  <c:v>0.5064288846459315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D1D3-4AB4-A593-B1B4EB7BD4F0}"/>
            </c:ext>
          </c:extLst>
        </c:ser>
        <c:ser>
          <c:idx val="20"/>
          <c:order val="20"/>
          <c:tx>
            <c:strRef>
              <c:f>'SSC1'!$B$22</c:f>
              <c:strCache>
                <c:ptCount val="1"/>
                <c:pt idx="0">
                  <c:v>101.5936673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'SSC1'!$C$22:$P$22</c:f>
              <c:numCache>
                <c:formatCode>General</c:formatCode>
                <c:ptCount val="14"/>
                <c:pt idx="0">
                  <c:v>0.99423366691127635</c:v>
                </c:pt>
                <c:pt idx="1">
                  <c:v>0.90674834016767725</c:v>
                </c:pt>
                <c:pt idx="2">
                  <c:v>0.78419189949567025</c:v>
                </c:pt>
                <c:pt idx="3">
                  <c:v>0.77159877972045421</c:v>
                </c:pt>
                <c:pt idx="4">
                  <c:v>0.64140016726727778</c:v>
                </c:pt>
                <c:pt idx="5">
                  <c:v>0.62443716335680188</c:v>
                </c:pt>
                <c:pt idx="6">
                  <c:v>0.58001352504087378</c:v>
                </c:pt>
                <c:pt idx="7">
                  <c:v>0.5520504146397246</c:v>
                </c:pt>
                <c:pt idx="8">
                  <c:v>0.55728120416727744</c:v>
                </c:pt>
                <c:pt idx="9">
                  <c:v>0.49528445570245982</c:v>
                </c:pt>
                <c:pt idx="10">
                  <c:v>0.48422486145259497</c:v>
                </c:pt>
                <c:pt idx="11">
                  <c:v>0.50485326688244847</c:v>
                </c:pt>
                <c:pt idx="12">
                  <c:v>0.50745932264288263</c:v>
                </c:pt>
                <c:pt idx="13">
                  <c:v>0.44700590742293539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D1D3-4AB4-A593-B1B4EB7BD4F0}"/>
            </c:ext>
          </c:extLst>
        </c:ser>
        <c:ser>
          <c:idx val="21"/>
          <c:order val="21"/>
          <c:tx>
            <c:strRef>
              <c:f>'SSC1'!$B$23</c:f>
              <c:strCache>
                <c:ptCount val="1"/>
                <c:pt idx="0">
                  <c:v>128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'SSC1'!$C$23:$P$23</c:f>
              <c:numCache>
                <c:formatCode>General</c:formatCode>
                <c:ptCount val="14"/>
                <c:pt idx="0">
                  <c:v>0.99829775309319557</c:v>
                </c:pt>
                <c:pt idx="1">
                  <c:v>0.86457660272814418</c:v>
                </c:pt>
                <c:pt idx="2">
                  <c:v>0.73743709237183286</c:v>
                </c:pt>
                <c:pt idx="3">
                  <c:v>0.65076325676719193</c:v>
                </c:pt>
                <c:pt idx="4">
                  <c:v>0.63892837766720345</c:v>
                </c:pt>
                <c:pt idx="5">
                  <c:v>0.63461875623006836</c:v>
                </c:pt>
                <c:pt idx="6">
                  <c:v>0.59531919195158567</c:v>
                </c:pt>
                <c:pt idx="7">
                  <c:v>0.59050118841054833</c:v>
                </c:pt>
                <c:pt idx="8">
                  <c:v>0.55113155995418817</c:v>
                </c:pt>
                <c:pt idx="9">
                  <c:v>0.5284418728528919</c:v>
                </c:pt>
                <c:pt idx="10">
                  <c:v>0.47382751342698026</c:v>
                </c:pt>
                <c:pt idx="11">
                  <c:v>0.47514111364117934</c:v>
                </c:pt>
                <c:pt idx="12">
                  <c:v>0.43169335544125315</c:v>
                </c:pt>
                <c:pt idx="13">
                  <c:v>0.37317278557252398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D1D3-4AB4-A593-B1B4EB7BD4F0}"/>
            </c:ext>
          </c:extLst>
        </c:ser>
        <c:ser>
          <c:idx val="22"/>
          <c:order val="22"/>
          <c:tx>
            <c:strRef>
              <c:f>'SSC1'!$B$24</c:f>
              <c:strCache>
                <c:ptCount val="1"/>
                <c:pt idx="0">
                  <c:v>161.2698944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'SSC1'!$C$24:$P$24</c:f>
              <c:numCache>
                <c:formatCode>General</c:formatCode>
                <c:ptCount val="14"/>
                <c:pt idx="0">
                  <c:v>0.94408631299942181</c:v>
                </c:pt>
                <c:pt idx="1">
                  <c:v>0.81409162500912347</c:v>
                </c:pt>
                <c:pt idx="2">
                  <c:v>0.67135903294862143</c:v>
                </c:pt>
                <c:pt idx="3">
                  <c:v>0.57790363388564348</c:v>
                </c:pt>
                <c:pt idx="4">
                  <c:v>0.55288607330391881</c:v>
                </c:pt>
                <c:pt idx="5">
                  <c:v>0.6357506252395011</c:v>
                </c:pt>
                <c:pt idx="6">
                  <c:v>0.62007493232351285</c:v>
                </c:pt>
                <c:pt idx="7">
                  <c:v>0.63850435597936472</c:v>
                </c:pt>
                <c:pt idx="8">
                  <c:v>0.5468140228163606</c:v>
                </c:pt>
                <c:pt idx="9">
                  <c:v>0.57257694627640898</c:v>
                </c:pt>
                <c:pt idx="10">
                  <c:v>0.46225722087064181</c:v>
                </c:pt>
                <c:pt idx="11">
                  <c:v>0.42908183067408906</c:v>
                </c:pt>
                <c:pt idx="12">
                  <c:v>0.38884725805194426</c:v>
                </c:pt>
                <c:pt idx="13">
                  <c:v>0.36817157566242281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D1D3-4AB4-A593-B1B4EB7BD4F0}"/>
            </c:ext>
          </c:extLst>
        </c:ser>
        <c:ser>
          <c:idx val="23"/>
          <c:order val="23"/>
          <c:tx>
            <c:strRef>
              <c:f>'SSC1'!$B$25</c:f>
              <c:strCache>
                <c:ptCount val="1"/>
                <c:pt idx="0">
                  <c:v>203.1873347</c:v>
                </c:pt>
              </c:strCache>
            </c:strRef>
          </c:tx>
          <c:cat>
            <c:numRef>
              <c:f>'SSC1'!$C$1:$P$1</c:f>
              <c:numCache>
                <c:formatCode>General</c:formatCode>
                <c:ptCount val="14"/>
                <c:pt idx="0">
                  <c:v>2</c:v>
                </c:pt>
                <c:pt idx="1">
                  <c:v>2.8284271247461903</c:v>
                </c:pt>
                <c:pt idx="2">
                  <c:v>4.0000000000000009</c:v>
                </c:pt>
                <c:pt idx="3">
                  <c:v>5.6568542494923815</c:v>
                </c:pt>
                <c:pt idx="4">
                  <c:v>8.0000000000000018</c:v>
                </c:pt>
                <c:pt idx="5">
                  <c:v>11.313708498984763</c:v>
                </c:pt>
                <c:pt idx="6">
                  <c:v>16.000000000000004</c:v>
                </c:pt>
                <c:pt idx="7">
                  <c:v>22.627416997969526</c:v>
                </c:pt>
                <c:pt idx="8">
                  <c:v>32.000000000000007</c:v>
                </c:pt>
                <c:pt idx="9">
                  <c:v>45.254833995939052</c:v>
                </c:pt>
                <c:pt idx="10">
                  <c:v>64.000000000000014</c:v>
                </c:pt>
                <c:pt idx="11">
                  <c:v>90.509667991878104</c:v>
                </c:pt>
                <c:pt idx="12">
                  <c:v>128.00000000000003</c:v>
                </c:pt>
                <c:pt idx="13">
                  <c:v>181.01933598375621</c:v>
                </c:pt>
              </c:numCache>
            </c:numRef>
          </c:cat>
          <c:val>
            <c:numRef>
              <c:f>'SSC1'!$C$25:$P$25</c:f>
              <c:numCache>
                <c:formatCode>General</c:formatCode>
                <c:ptCount val="14"/>
                <c:pt idx="0">
                  <c:v>0.83304217179414475</c:v>
                </c:pt>
                <c:pt idx="1">
                  <c:v>0.68737447242658833</c:v>
                </c:pt>
                <c:pt idx="2">
                  <c:v>0.69291572213487196</c:v>
                </c:pt>
                <c:pt idx="3">
                  <c:v>0.70994271714387869</c:v>
                </c:pt>
                <c:pt idx="4">
                  <c:v>0.48157473283262753</c:v>
                </c:pt>
                <c:pt idx="5">
                  <c:v>0.62459960813575677</c:v>
                </c:pt>
                <c:pt idx="6">
                  <c:v>0.56012215619332195</c:v>
                </c:pt>
                <c:pt idx="7">
                  <c:v>0.69871074255673171</c:v>
                </c:pt>
                <c:pt idx="8">
                  <c:v>0.5440447476569642</c:v>
                </c:pt>
                <c:pt idx="9">
                  <c:v>0.62514963836770021</c:v>
                </c:pt>
                <c:pt idx="10">
                  <c:v>0.44586059131436312</c:v>
                </c:pt>
                <c:pt idx="11">
                  <c:v>0.37190800843363908</c:v>
                </c:pt>
                <c:pt idx="12">
                  <c:v>0.40467531887911079</c:v>
                </c:pt>
                <c:pt idx="13">
                  <c:v>0.4960754976464562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D1D3-4AB4-A593-B1B4EB7BD4F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</c:bandFmts>
        <c:axId val="315042936"/>
        <c:axId val="315042608"/>
        <c:axId val="547309640"/>
      </c:surface3DChart>
      <c:catAx>
        <c:axId val="31504293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042608"/>
        <c:crosses val="autoZero"/>
        <c:auto val="1"/>
        <c:lblAlgn val="ctr"/>
        <c:lblOffset val="100"/>
        <c:noMultiLvlLbl val="0"/>
      </c:catAx>
      <c:valAx>
        <c:axId val="31504260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042936"/>
        <c:crosses val="autoZero"/>
        <c:crossBetween val="midCat"/>
      </c:valAx>
      <c:serAx>
        <c:axId val="54730964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04260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30480</xdr:colOff>
      <xdr:row>10</xdr:row>
      <xdr:rowOff>83820</xdr:rowOff>
    </xdr:from>
    <xdr:to>
      <xdr:col>36</xdr:col>
      <xdr:colOff>83820</xdr:colOff>
      <xdr:row>33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B5DB2B0-6824-4F95-8293-91242E184E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91440</xdr:colOff>
      <xdr:row>63</xdr:row>
      <xdr:rowOff>22860</xdr:rowOff>
    </xdr:from>
    <xdr:to>
      <xdr:col>32</xdr:col>
      <xdr:colOff>396240</xdr:colOff>
      <xdr:row>78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6126B1-3B53-4341-91F9-91C836C35A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76200</xdr:colOff>
      <xdr:row>45</xdr:row>
      <xdr:rowOff>160020</xdr:rowOff>
    </xdr:from>
    <xdr:to>
      <xdr:col>32</xdr:col>
      <xdr:colOff>381000</xdr:colOff>
      <xdr:row>60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9B34260-38A3-4E86-891B-A787EC95F3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586740</xdr:colOff>
      <xdr:row>78</xdr:row>
      <xdr:rowOff>106680</xdr:rowOff>
    </xdr:from>
    <xdr:to>
      <xdr:col>36</xdr:col>
      <xdr:colOff>281940</xdr:colOff>
      <xdr:row>93</xdr:row>
      <xdr:rowOff>91440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BFA4768-A6D8-48F3-A97E-A240D5A19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83820</xdr:colOff>
      <xdr:row>156</xdr:row>
      <xdr:rowOff>121920</xdr:rowOff>
    </xdr:from>
    <xdr:to>
      <xdr:col>32</xdr:col>
      <xdr:colOff>365760</xdr:colOff>
      <xdr:row>175</xdr:row>
      <xdr:rowOff>182880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75BDDC1-B8AA-46C9-B0D3-80E3459A25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F5D8CE-9EA4-47B5-8744-5B44426220DB}" name="Table1" displayName="Table1" ref="A2:Y176" totalsRowShown="0">
  <autoFilter ref="A2:Y176" xr:uid="{37A2C61E-6DFB-43C5-AC1A-19B9FAC21C3F}"/>
  <tableColumns count="25">
    <tableColumn id="12" xr3:uid="{DC1160F4-32AF-4931-91CC-97590886FD9B}" name="truncate_num" dataDxfId="24"/>
    <tableColumn id="13" xr3:uid="{D023540D-5477-4F5C-910E-5D2B8A885330}" name="per_person" dataDxfId="23"/>
    <tableColumn id="4" xr3:uid="{9D40B045-8228-4DD6-9583-35D791C9FC6D}" name="numImages" dataDxfId="22"/>
    <tableColumn id="1" xr3:uid="{1154C39F-E9D0-470A-AC63-68DA4F34C1BE}" name="gridSpacing" dataDxfId="21"/>
    <tableColumn id="2" xr3:uid="{0D8CE393-7A57-44E3-8E72-B8B847AADD21}" name="patchSize" dataDxfId="20"/>
    <tableColumn id="17" xr3:uid="{B6289DDD-4CFB-4673-AC61-1882DEE2D5B4}" name="concat" dataDxfId="19"/>
    <tableColumn id="18" xr3:uid="{197073EE-D93D-48A9-86F7-EBB216CF30DF}" name="ratio" dataDxfId="18"/>
    <tableColumn id="3" xr3:uid="{783D3E51-AD27-4860-B2BD-64B59D4CE52C}" name="Features" dataDxfId="17">
      <calculatedColumnFormula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calculatedColumnFormula>
    </tableColumn>
    <tableColumn id="5" xr3:uid="{D977C8E7-CB74-4BB9-97B3-CA08F73C7A2C}" name="components" dataDxfId="16"/>
    <tableColumn id="6" xr3:uid="{7FAA52EE-4647-494E-BC91-B4C064897C37}" name="whiten" dataDxfId="15"/>
    <tableColumn id="7" xr3:uid="{1F6A5AE6-C9E9-43B2-AD79-88AC368A8318}" name="svd_solver" dataDxfId="14"/>
    <tableColumn id="8" xr3:uid="{E38430D8-2D37-42A8-BE5B-3CD5782754BA}" name="Features2" dataDxfId="13">
      <calculatedColumnFormula>MIN(Table1[[#This Row],[Features]],Table1[[#This Row],[components]])</calculatedColumnFormula>
    </tableColumn>
    <tableColumn id="19" xr3:uid="{22B402F2-DCDB-4AFE-B6C5-67005709D05B}" name="affine" dataDxfId="12"/>
    <tableColumn id="20" xr3:uid="{33B68A06-1EC7-40B2-8668-B1CF8E7F0D82}" name="alpha" dataDxfId="11"/>
    <tableColumn id="21" xr3:uid="{659BAA3C-5997-4D96-8DFB-E04B64D16D8D}" name="outlier" dataDxfId="10"/>
    <tableColumn id="22" xr3:uid="{B0BA261F-8953-4FC9-8356-350A545FCA1E}" name="iter" dataDxfId="9"/>
    <tableColumn id="23" xr3:uid="{FC84026B-B3EA-4351-9208-8E5C3150A311}" name="err1" dataDxfId="8"/>
    <tableColumn id="24" xr3:uid="{7262295C-A1F9-4C20-86C7-14A69FA70CC3}" name="err2" dataDxfId="7"/>
    <tableColumn id="25" xr3:uid="{DC26078F-121E-494B-9522-88395895D026}" name="err3" dataDxfId="6"/>
    <tableColumn id="9" xr3:uid="{5DE90892-129A-416A-B837-127EB4681EFA}" name="Accuracy" dataDxfId="5"/>
    <tableColumn id="10" xr3:uid="{BF40D60C-F935-465A-89F8-B0FB73F469C8}" name="NMI" dataDxfId="4"/>
    <tableColumn id="11" xr3:uid="{EEBFBC5B-B28B-4C13-A7BD-00A1766364C5}" name="ARI" dataDxfId="3"/>
    <tableColumn id="14" xr3:uid="{4DF087E7-817C-4E24-978A-E8FE97DE9ED1}" name="Accuracy2" dataDxfId="2"/>
    <tableColumn id="15" xr3:uid="{8173BC65-CBDB-4FF2-A7D0-7A736A41F19F}" name="NMI2" dataDxfId="1"/>
    <tableColumn id="16" xr3:uid="{84378722-A08F-4066-9D37-D6DB1990AC3A}" name="ARI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10"/>
  <sheetViews>
    <sheetView tabSelected="1" topLeftCell="A49" zoomScaleNormal="100" workbookViewId="0">
      <selection activeCell="A65" sqref="A65"/>
    </sheetView>
  </sheetViews>
  <sheetFormatPr defaultRowHeight="14.4" x14ac:dyDescent="0.3"/>
  <cols>
    <col min="1" max="1" width="15.33203125" bestFit="1" customWidth="1"/>
    <col min="2" max="2" width="12.77734375" bestFit="1" customWidth="1"/>
    <col min="3" max="3" width="13.109375" bestFit="1" customWidth="1"/>
    <col min="4" max="4" width="13" bestFit="1" customWidth="1"/>
    <col min="5" max="5" width="11.21875" bestFit="1" customWidth="1"/>
    <col min="6" max="6" width="8.88671875" bestFit="1" customWidth="1"/>
    <col min="7" max="7" width="7.109375" bestFit="1" customWidth="1"/>
    <col min="8" max="8" width="10.33203125" bestFit="1" customWidth="1"/>
    <col min="9" max="9" width="13.77734375" bestFit="1" customWidth="1"/>
    <col min="10" max="10" width="9" bestFit="1" customWidth="1"/>
    <col min="11" max="11" width="12.109375" bestFit="1" customWidth="1"/>
    <col min="12" max="12" width="11.33203125" bestFit="1" customWidth="1"/>
    <col min="13" max="13" width="8.109375" bestFit="1" customWidth="1"/>
    <col min="14" max="14" width="7.88671875" bestFit="1" customWidth="1"/>
    <col min="15" max="15" width="8.6640625" bestFit="1" customWidth="1"/>
    <col min="16" max="16" width="6" bestFit="1" customWidth="1"/>
    <col min="17" max="17" width="12" bestFit="1" customWidth="1"/>
    <col min="18" max="19" width="7" bestFit="1" customWidth="1"/>
    <col min="20" max="20" width="10.88671875" bestFit="1" customWidth="1"/>
    <col min="21" max="25" width="12" bestFit="1" customWidth="1"/>
  </cols>
  <sheetData>
    <row r="1" spans="1:27" x14ac:dyDescent="0.3">
      <c r="A1" s="108" t="s">
        <v>29</v>
      </c>
      <c r="B1" s="109"/>
      <c r="C1" s="109"/>
      <c r="D1" s="112" t="s">
        <v>3</v>
      </c>
      <c r="E1" s="112"/>
      <c r="F1" s="112"/>
      <c r="G1" s="112"/>
      <c r="H1" s="113"/>
      <c r="I1" s="106" t="s">
        <v>9</v>
      </c>
      <c r="J1" s="107"/>
      <c r="K1" s="107"/>
      <c r="L1" s="107"/>
      <c r="M1" s="114" t="s">
        <v>54</v>
      </c>
      <c r="N1" s="114"/>
      <c r="O1" s="114"/>
      <c r="P1" s="114"/>
      <c r="Q1" s="114"/>
      <c r="R1" s="114"/>
      <c r="S1" s="115"/>
      <c r="T1" s="110" t="s">
        <v>21</v>
      </c>
      <c r="U1" s="111"/>
      <c r="V1" s="111"/>
      <c r="W1" s="110" t="s">
        <v>23</v>
      </c>
      <c r="X1" s="111"/>
      <c r="Y1" s="111"/>
    </row>
    <row r="2" spans="1:27" ht="15" thickBot="1" x14ac:dyDescent="0.35">
      <c r="A2" s="3" t="s">
        <v>14</v>
      </c>
      <c r="B2" s="3" t="s">
        <v>15</v>
      </c>
      <c r="C2" s="1" t="s">
        <v>4</v>
      </c>
      <c r="D2" t="s">
        <v>0</v>
      </c>
      <c r="E2" t="s">
        <v>1</v>
      </c>
      <c r="F2" t="s">
        <v>33</v>
      </c>
      <c r="G2" t="s">
        <v>37</v>
      </c>
      <c r="H2" s="1" t="s">
        <v>2</v>
      </c>
      <c r="I2" s="2" t="s">
        <v>13</v>
      </c>
      <c r="J2" s="2" t="s">
        <v>5</v>
      </c>
      <c r="K2" s="2" t="s">
        <v>6</v>
      </c>
      <c r="L2" s="1" t="s">
        <v>8</v>
      </c>
      <c r="M2" s="43" t="s">
        <v>46</v>
      </c>
      <c r="N2" s="43" t="s">
        <v>47</v>
      </c>
      <c r="O2" s="43" t="s">
        <v>48</v>
      </c>
      <c r="P2" s="43" t="s">
        <v>49</v>
      </c>
      <c r="Q2" s="1" t="s">
        <v>50</v>
      </c>
      <c r="R2" s="1" t="s">
        <v>51</v>
      </c>
      <c r="S2" s="1" t="s">
        <v>53</v>
      </c>
      <c r="T2" s="4" t="s">
        <v>10</v>
      </c>
      <c r="U2" s="4" t="s">
        <v>11</v>
      </c>
      <c r="V2" s="4" t="s">
        <v>12</v>
      </c>
      <c r="W2" s="4" t="s">
        <v>24</v>
      </c>
      <c r="X2" s="4" t="s">
        <v>25</v>
      </c>
      <c r="Y2" s="4" t="s">
        <v>26</v>
      </c>
    </row>
    <row r="3" spans="1:27" x14ac:dyDescent="0.3">
      <c r="A3" s="6">
        <v>38</v>
      </c>
      <c r="B3" s="6" t="s">
        <v>16</v>
      </c>
      <c r="C3" s="7">
        <f>MIN(Table1[[#This Row],[per_person]],64)*Table1[[#This Row],[truncate_num]]</f>
        <v>2432</v>
      </c>
      <c r="D3" s="8">
        <v>48</v>
      </c>
      <c r="E3" s="9">
        <v>8</v>
      </c>
      <c r="F3" s="9" t="s">
        <v>34</v>
      </c>
      <c r="G3" s="40" t="s">
        <v>38</v>
      </c>
      <c r="H3" s="7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2048</v>
      </c>
      <c r="I3" s="48">
        <v>300</v>
      </c>
      <c r="J3" s="49" t="b">
        <v>0</v>
      </c>
      <c r="K3" s="50" t="s">
        <v>7</v>
      </c>
      <c r="L3" s="7">
        <f>MIN(Table1[[#This Row],[Features]],Table1[[#This Row],[components]])</f>
        <v>300</v>
      </c>
      <c r="M3" s="80" t="s">
        <v>17</v>
      </c>
      <c r="N3" s="44" t="s">
        <v>17</v>
      </c>
      <c r="O3" s="44" t="s">
        <v>17</v>
      </c>
      <c r="P3" s="80" t="s">
        <v>17</v>
      </c>
      <c r="Q3" s="7" t="s">
        <v>17</v>
      </c>
      <c r="R3" s="7" t="s">
        <v>17</v>
      </c>
      <c r="S3" s="7" t="s">
        <v>17</v>
      </c>
      <c r="T3" s="28"/>
      <c r="U3" s="28"/>
      <c r="V3" s="28"/>
      <c r="W3" s="15">
        <v>0.246299342105263</v>
      </c>
      <c r="X3" s="15">
        <v>0.375558731899576</v>
      </c>
      <c r="Y3" s="16">
        <v>5.0118382202169499E-3</v>
      </c>
    </row>
    <row r="4" spans="1:27" x14ac:dyDescent="0.3">
      <c r="A4" s="12">
        <v>38</v>
      </c>
      <c r="B4" s="12" t="s">
        <v>16</v>
      </c>
      <c r="C4" s="13">
        <f>MIN(Table1[[#This Row],[per_person]],64)*Table1[[#This Row],[truncate_num]]</f>
        <v>2432</v>
      </c>
      <c r="D4" s="11">
        <v>48</v>
      </c>
      <c r="E4" s="11">
        <v>8</v>
      </c>
      <c r="F4" s="11" t="s">
        <v>34</v>
      </c>
      <c r="G4" s="40" t="s">
        <v>38</v>
      </c>
      <c r="H4" s="13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2048</v>
      </c>
      <c r="I4" s="51" t="s">
        <v>17</v>
      </c>
      <c r="J4" s="46" t="s">
        <v>17</v>
      </c>
      <c r="K4" s="52" t="s">
        <v>17</v>
      </c>
      <c r="L4" s="13">
        <f>MIN(Table1[[#This Row],[Features]],Table1[[#This Row],[components]])</f>
        <v>2048</v>
      </c>
      <c r="M4" s="77" t="s">
        <v>17</v>
      </c>
      <c r="N4" s="45" t="s">
        <v>17</v>
      </c>
      <c r="O4" s="45" t="s">
        <v>17</v>
      </c>
      <c r="P4" s="77" t="s">
        <v>17</v>
      </c>
      <c r="Q4" s="13" t="s">
        <v>17</v>
      </c>
      <c r="R4" s="13" t="s">
        <v>17</v>
      </c>
      <c r="S4" s="13" t="s">
        <v>17</v>
      </c>
      <c r="T4" s="28"/>
      <c r="U4" s="28"/>
      <c r="V4" s="28"/>
      <c r="W4" s="17">
        <v>0.19243421052631501</v>
      </c>
      <c r="X4" s="18">
        <v>0.330571432187097</v>
      </c>
      <c r="Y4" s="19">
        <v>3.40290976232174E-3</v>
      </c>
    </row>
    <row r="5" spans="1:27" x14ac:dyDescent="0.3">
      <c r="A5" s="6">
        <v>38</v>
      </c>
      <c r="B5" s="6" t="s">
        <v>16</v>
      </c>
      <c r="C5" s="7">
        <f>MIN(Table1[[#This Row],[per_person]],64)*Table1[[#This Row],[truncate_num]]</f>
        <v>2432</v>
      </c>
      <c r="D5" s="8">
        <v>48</v>
      </c>
      <c r="E5" s="9">
        <v>8</v>
      </c>
      <c r="F5" s="9" t="s">
        <v>34</v>
      </c>
      <c r="G5" s="40" t="s">
        <v>38</v>
      </c>
      <c r="H5" s="7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2048</v>
      </c>
      <c r="I5" s="53">
        <v>1000</v>
      </c>
      <c r="J5" s="47" t="b">
        <v>0</v>
      </c>
      <c r="K5" s="54" t="s">
        <v>7</v>
      </c>
      <c r="L5" s="7">
        <f>MIN(Table1[[#This Row],[Features]],Table1[[#This Row],[components]])</f>
        <v>1000</v>
      </c>
      <c r="M5" s="80" t="s">
        <v>17</v>
      </c>
      <c r="N5" s="44" t="s">
        <v>17</v>
      </c>
      <c r="O5" s="44" t="s">
        <v>17</v>
      </c>
      <c r="P5" s="80" t="s">
        <v>17</v>
      </c>
      <c r="Q5" s="7" t="s">
        <v>17</v>
      </c>
      <c r="R5" s="7" t="s">
        <v>17</v>
      </c>
      <c r="S5" s="7" t="s">
        <v>17</v>
      </c>
      <c r="T5" s="28"/>
      <c r="U5" s="28"/>
      <c r="V5" s="28"/>
      <c r="W5" s="20">
        <v>0.19449013157894701</v>
      </c>
      <c r="X5" s="20">
        <v>0.33287221702434</v>
      </c>
      <c r="Y5" s="21">
        <v>3.4981906850993999E-3</v>
      </c>
    </row>
    <row r="6" spans="1:27" x14ac:dyDescent="0.3">
      <c r="A6" s="12">
        <v>38</v>
      </c>
      <c r="B6" s="12" t="s">
        <v>16</v>
      </c>
      <c r="C6" s="13">
        <f>MIN(Table1[[#This Row],[per_person]],64)*Table1[[#This Row],[truncate_num]]</f>
        <v>2432</v>
      </c>
      <c r="D6" s="11">
        <v>48</v>
      </c>
      <c r="E6" s="11">
        <v>8</v>
      </c>
      <c r="F6" s="11" t="s">
        <v>34</v>
      </c>
      <c r="G6" s="40" t="s">
        <v>38</v>
      </c>
      <c r="H6" s="13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2048</v>
      </c>
      <c r="I6" s="51">
        <v>150</v>
      </c>
      <c r="J6" s="46" t="b">
        <v>0</v>
      </c>
      <c r="K6" s="52" t="s">
        <v>7</v>
      </c>
      <c r="L6" s="13">
        <f>MIN(Table1[[#This Row],[Features]],Table1[[#This Row],[components]])</f>
        <v>150</v>
      </c>
      <c r="M6" s="77" t="s">
        <v>17</v>
      </c>
      <c r="N6" s="45" t="s">
        <v>17</v>
      </c>
      <c r="O6" s="45" t="s">
        <v>17</v>
      </c>
      <c r="P6" s="77" t="s">
        <v>17</v>
      </c>
      <c r="Q6" s="13" t="s">
        <v>17</v>
      </c>
      <c r="R6" s="13" t="s">
        <v>17</v>
      </c>
      <c r="S6" s="13" t="s">
        <v>17</v>
      </c>
      <c r="T6" s="28"/>
      <c r="U6" s="28"/>
      <c r="V6" s="28"/>
      <c r="W6" s="18">
        <v>0.25041118421052599</v>
      </c>
      <c r="X6" s="18">
        <v>0.38215139665021403</v>
      </c>
      <c r="Y6" s="19">
        <v>5.5180009349363301E-3</v>
      </c>
    </row>
    <row r="7" spans="1:27" x14ac:dyDescent="0.3">
      <c r="A7" s="6">
        <v>38</v>
      </c>
      <c r="B7" s="6" t="s">
        <v>16</v>
      </c>
      <c r="C7" s="7">
        <f>MIN(Table1[[#This Row],[per_person]],64)*Table1[[#This Row],[truncate_num]]</f>
        <v>2432</v>
      </c>
      <c r="D7" s="8">
        <v>48</v>
      </c>
      <c r="E7" s="9">
        <v>8</v>
      </c>
      <c r="F7" s="9" t="s">
        <v>34</v>
      </c>
      <c r="G7" s="40" t="s">
        <v>38</v>
      </c>
      <c r="H7" s="7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2048</v>
      </c>
      <c r="I7" s="53">
        <v>100</v>
      </c>
      <c r="J7" s="47" t="b">
        <v>0</v>
      </c>
      <c r="K7" s="54" t="s">
        <v>7</v>
      </c>
      <c r="L7" s="7">
        <f>MIN(Table1[[#This Row],[Features]],Table1[[#This Row],[components]])</f>
        <v>100</v>
      </c>
      <c r="M7" s="80" t="s">
        <v>17</v>
      </c>
      <c r="N7" s="44" t="s">
        <v>17</v>
      </c>
      <c r="O7" s="44" t="s">
        <v>17</v>
      </c>
      <c r="P7" s="80" t="s">
        <v>17</v>
      </c>
      <c r="Q7" s="7" t="s">
        <v>17</v>
      </c>
      <c r="R7" s="7" t="s">
        <v>17</v>
      </c>
      <c r="S7" s="7" t="s">
        <v>17</v>
      </c>
      <c r="T7" s="28"/>
      <c r="U7" s="28"/>
      <c r="V7" s="28"/>
      <c r="W7" s="20">
        <v>0.25699013157894701</v>
      </c>
      <c r="X7" s="20">
        <v>0.38929258415649498</v>
      </c>
      <c r="Y7" s="21">
        <v>6.08554797116882E-3</v>
      </c>
    </row>
    <row r="8" spans="1:27" x14ac:dyDescent="0.3">
      <c r="A8" s="12">
        <v>38</v>
      </c>
      <c r="B8" s="12" t="s">
        <v>16</v>
      </c>
      <c r="C8" s="13">
        <f>MIN(Table1[[#This Row],[per_person]],64)*Table1[[#This Row],[truncate_num]]</f>
        <v>2432</v>
      </c>
      <c r="D8" s="11">
        <v>48</v>
      </c>
      <c r="E8" s="11">
        <v>8</v>
      </c>
      <c r="F8" s="11" t="s">
        <v>34</v>
      </c>
      <c r="G8" s="40" t="s">
        <v>38</v>
      </c>
      <c r="H8" s="13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2048</v>
      </c>
      <c r="I8" s="51">
        <v>300</v>
      </c>
      <c r="J8" s="46" t="b">
        <v>1</v>
      </c>
      <c r="K8" s="52" t="s">
        <v>7</v>
      </c>
      <c r="L8" s="13">
        <f>MIN(Table1[[#This Row],[Features]],Table1[[#This Row],[components]])</f>
        <v>300</v>
      </c>
      <c r="M8" s="77" t="s">
        <v>17</v>
      </c>
      <c r="N8" s="45" t="s">
        <v>17</v>
      </c>
      <c r="O8" s="45" t="s">
        <v>17</v>
      </c>
      <c r="P8" s="77" t="s">
        <v>17</v>
      </c>
      <c r="Q8" s="13" t="s">
        <v>17</v>
      </c>
      <c r="R8" s="13" t="s">
        <v>17</v>
      </c>
      <c r="S8" s="13" t="s">
        <v>17</v>
      </c>
      <c r="T8" s="28"/>
      <c r="U8" s="28"/>
      <c r="V8" s="28"/>
      <c r="W8" s="22">
        <v>0</v>
      </c>
      <c r="X8" s="22">
        <v>0</v>
      </c>
      <c r="Y8" s="23">
        <v>0</v>
      </c>
      <c r="Z8" s="102" t="s">
        <v>22</v>
      </c>
      <c r="AA8" s="103"/>
    </row>
    <row r="9" spans="1:27" x14ac:dyDescent="0.3">
      <c r="A9" s="6">
        <v>38</v>
      </c>
      <c r="B9" s="6" t="s">
        <v>16</v>
      </c>
      <c r="C9" s="7">
        <f>MIN(Table1[[#This Row],[per_person]],64)*Table1[[#This Row],[truncate_num]]</f>
        <v>2432</v>
      </c>
      <c r="D9" s="8">
        <v>48</v>
      </c>
      <c r="E9" s="9">
        <v>8</v>
      </c>
      <c r="F9" s="9" t="s">
        <v>34</v>
      </c>
      <c r="G9" s="40" t="s">
        <v>38</v>
      </c>
      <c r="H9" s="7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2048</v>
      </c>
      <c r="I9" s="53">
        <v>300</v>
      </c>
      <c r="J9" s="47" t="b">
        <v>0</v>
      </c>
      <c r="K9" s="54" t="s">
        <v>18</v>
      </c>
      <c r="L9" s="7">
        <f>MIN(Table1[[#This Row],[Features]],Table1[[#This Row],[components]])</f>
        <v>300</v>
      </c>
      <c r="M9" s="80" t="s">
        <v>17</v>
      </c>
      <c r="N9" s="44" t="s">
        <v>17</v>
      </c>
      <c r="O9" s="44" t="s">
        <v>17</v>
      </c>
      <c r="P9" s="80" t="s">
        <v>17</v>
      </c>
      <c r="Q9" s="7" t="s">
        <v>17</v>
      </c>
      <c r="R9" s="7" t="s">
        <v>17</v>
      </c>
      <c r="S9" s="7" t="s">
        <v>17</v>
      </c>
      <c r="T9" s="28"/>
      <c r="U9" s="28"/>
      <c r="V9" s="28"/>
      <c r="W9" s="24">
        <v>0.245888157894736</v>
      </c>
      <c r="X9" s="24">
        <v>0.37685369357937498</v>
      </c>
      <c r="Y9" s="25">
        <v>5.1578191951004004E-3</v>
      </c>
    </row>
    <row r="10" spans="1:27" x14ac:dyDescent="0.3">
      <c r="A10" s="12">
        <v>38</v>
      </c>
      <c r="B10" s="12" t="s">
        <v>16</v>
      </c>
      <c r="C10" s="13">
        <f>MIN(Table1[[#This Row],[per_person]],64)*Table1[[#This Row],[truncate_num]]</f>
        <v>2432</v>
      </c>
      <c r="D10" s="11">
        <v>48</v>
      </c>
      <c r="E10" s="11">
        <v>8</v>
      </c>
      <c r="F10" s="11" t="s">
        <v>34</v>
      </c>
      <c r="G10" s="40" t="s">
        <v>38</v>
      </c>
      <c r="H10" s="13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2048</v>
      </c>
      <c r="I10" s="51">
        <v>300</v>
      </c>
      <c r="J10" s="46" t="b">
        <v>0</v>
      </c>
      <c r="K10" s="52" t="s">
        <v>19</v>
      </c>
      <c r="L10" s="13">
        <f>MIN(Table1[[#This Row],[Features]],Table1[[#This Row],[components]])</f>
        <v>300</v>
      </c>
      <c r="M10" s="77" t="s">
        <v>17</v>
      </c>
      <c r="N10" s="45" t="s">
        <v>17</v>
      </c>
      <c r="O10" s="45" t="s">
        <v>17</v>
      </c>
      <c r="P10" s="77" t="s">
        <v>17</v>
      </c>
      <c r="Q10" s="13" t="s">
        <v>17</v>
      </c>
      <c r="R10" s="13" t="s">
        <v>17</v>
      </c>
      <c r="S10" s="13" t="s">
        <v>17</v>
      </c>
      <c r="T10" s="28"/>
      <c r="U10" s="28"/>
      <c r="V10" s="28"/>
      <c r="W10" s="26">
        <v>0.25041118421052599</v>
      </c>
      <c r="X10" s="26">
        <v>0.37830884778820301</v>
      </c>
      <c r="Y10" s="27">
        <v>5.1024657846438903E-3</v>
      </c>
    </row>
    <row r="11" spans="1:27" ht="15" thickBot="1" x14ac:dyDescent="0.35">
      <c r="A11" s="6">
        <v>38</v>
      </c>
      <c r="B11" s="6" t="s">
        <v>16</v>
      </c>
      <c r="C11" s="7">
        <f>MIN(Table1[[#This Row],[per_person]],64)*Table1[[#This Row],[truncate_num]]</f>
        <v>2432</v>
      </c>
      <c r="D11" s="8">
        <v>48</v>
      </c>
      <c r="E11" s="9">
        <v>8</v>
      </c>
      <c r="F11" s="9" t="s">
        <v>34</v>
      </c>
      <c r="G11" s="40" t="s">
        <v>38</v>
      </c>
      <c r="H11" s="7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2048</v>
      </c>
      <c r="I11" s="55">
        <v>300</v>
      </c>
      <c r="J11" s="56" t="b">
        <v>0</v>
      </c>
      <c r="K11" s="57" t="s">
        <v>20</v>
      </c>
      <c r="L11" s="7">
        <f>MIN(Table1[[#This Row],[Features]],Table1[[#This Row],[components]])</f>
        <v>300</v>
      </c>
      <c r="M11" s="80" t="s">
        <v>17</v>
      </c>
      <c r="N11" s="80" t="s">
        <v>17</v>
      </c>
      <c r="O11" s="80" t="s">
        <v>17</v>
      </c>
      <c r="P11" s="80" t="s">
        <v>17</v>
      </c>
      <c r="Q11" s="7" t="s">
        <v>17</v>
      </c>
      <c r="R11" s="7" t="s">
        <v>17</v>
      </c>
      <c r="S11" s="7" t="s">
        <v>17</v>
      </c>
      <c r="T11" s="32"/>
      <c r="U11" s="32"/>
      <c r="V11" s="32"/>
      <c r="W11" s="33">
        <v>0.245888157894736</v>
      </c>
      <c r="X11" s="33">
        <v>0.37515571613918502</v>
      </c>
      <c r="Y11" s="34">
        <v>4.98947993774293E-3</v>
      </c>
    </row>
    <row r="12" spans="1:27" ht="15" thickTop="1" x14ac:dyDescent="0.3">
      <c r="A12" s="38">
        <v>10</v>
      </c>
      <c r="B12" s="12" t="s">
        <v>16</v>
      </c>
      <c r="C12" s="13">
        <f>MIN(Table1[[#This Row],[per_person]],64)*Table1[[#This Row],[truncate_num]]</f>
        <v>640</v>
      </c>
      <c r="D12" s="58">
        <v>48</v>
      </c>
      <c r="E12" s="63">
        <v>8</v>
      </c>
      <c r="F12" s="11" t="s">
        <v>34</v>
      </c>
      <c r="G12" s="40" t="s">
        <v>38</v>
      </c>
      <c r="H12" s="13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2048</v>
      </c>
      <c r="I12" s="14">
        <v>300</v>
      </c>
      <c r="J12" s="14" t="b">
        <v>0</v>
      </c>
      <c r="K12" s="14" t="s">
        <v>19</v>
      </c>
      <c r="L12" s="13">
        <f>MIN(Table1[[#This Row],[Features]],Table1[[#This Row],[components]])</f>
        <v>300</v>
      </c>
      <c r="M12" s="77" t="b">
        <v>0</v>
      </c>
      <c r="N12" s="45">
        <v>20</v>
      </c>
      <c r="O12" s="45" t="b">
        <v>1</v>
      </c>
      <c r="P12" s="77">
        <v>150</v>
      </c>
      <c r="Q12" s="13" t="s">
        <v>52</v>
      </c>
      <c r="R12" s="13" t="s">
        <v>52</v>
      </c>
      <c r="S12" s="13" t="s">
        <v>17</v>
      </c>
      <c r="T12" s="35">
        <v>0.47499999999999998</v>
      </c>
      <c r="U12" s="35">
        <v>0.46615763685757</v>
      </c>
      <c r="V12" s="35">
        <v>0.16735215982839199</v>
      </c>
      <c r="W12" s="36">
        <v>0.3</v>
      </c>
      <c r="X12" s="36">
        <v>0.31600272827058801</v>
      </c>
      <c r="Y12" s="37">
        <v>1.3731337138294801E-2</v>
      </c>
    </row>
    <row r="13" spans="1:27" x14ac:dyDescent="0.3">
      <c r="A13" s="6">
        <v>10</v>
      </c>
      <c r="B13" s="6" t="s">
        <v>16</v>
      </c>
      <c r="C13" s="7">
        <f>MIN(Table1[[#This Row],[per_person]],64)*Table1[[#This Row],[truncate_num]]</f>
        <v>640</v>
      </c>
      <c r="D13" s="59">
        <v>48</v>
      </c>
      <c r="E13" s="64">
        <v>16</v>
      </c>
      <c r="F13" s="9" t="s">
        <v>34</v>
      </c>
      <c r="G13" s="40" t="s">
        <v>38</v>
      </c>
      <c r="H13" s="7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2048</v>
      </c>
      <c r="I13" s="5">
        <v>300</v>
      </c>
      <c r="J13" s="5" t="b">
        <v>0</v>
      </c>
      <c r="K13" s="5" t="s">
        <v>19</v>
      </c>
      <c r="L13" s="10">
        <f>MIN(Table1[[#This Row],[Features]],Table1[[#This Row],[components]])</f>
        <v>300</v>
      </c>
      <c r="M13" s="80" t="b">
        <v>0</v>
      </c>
      <c r="N13" s="44">
        <v>20</v>
      </c>
      <c r="O13" s="44" t="b">
        <v>1</v>
      </c>
      <c r="P13" s="80">
        <v>150</v>
      </c>
      <c r="Q13" s="10" t="s">
        <v>52</v>
      </c>
      <c r="R13" s="10" t="s">
        <v>52</v>
      </c>
      <c r="S13" s="7" t="s">
        <v>17</v>
      </c>
      <c r="T13" s="28">
        <v>0.49843749999999998</v>
      </c>
      <c r="U13" s="28">
        <v>0.50495489221933398</v>
      </c>
      <c r="V13" s="28">
        <v>0.100930167103575</v>
      </c>
      <c r="W13" s="24">
        <v>0.35312500000000002</v>
      </c>
      <c r="X13" s="24">
        <v>0.36569446827832602</v>
      </c>
      <c r="Y13" s="25">
        <v>2.3963768903140201E-2</v>
      </c>
    </row>
    <row r="14" spans="1:27" x14ac:dyDescent="0.3">
      <c r="A14" s="12">
        <v>10</v>
      </c>
      <c r="B14" s="12" t="s">
        <v>16</v>
      </c>
      <c r="C14" s="13">
        <f>MIN(Table1[[#This Row],[per_person]],64)*Table1[[#This Row],[truncate_num]]</f>
        <v>640</v>
      </c>
      <c r="D14" s="60">
        <v>48</v>
      </c>
      <c r="E14" s="65">
        <v>4</v>
      </c>
      <c r="F14" s="11" t="s">
        <v>34</v>
      </c>
      <c r="G14" s="40" t="s">
        <v>38</v>
      </c>
      <c r="H14" s="13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2048</v>
      </c>
      <c r="I14" s="14">
        <v>300</v>
      </c>
      <c r="J14" s="14" t="b">
        <v>0</v>
      </c>
      <c r="K14" s="14" t="s">
        <v>19</v>
      </c>
      <c r="L14" s="13">
        <f>MIN(Table1[[#This Row],[Features]],Table1[[#This Row],[components]])</f>
        <v>300</v>
      </c>
      <c r="M14" s="77" t="b">
        <v>0</v>
      </c>
      <c r="N14" s="45">
        <v>20</v>
      </c>
      <c r="O14" s="45" t="b">
        <v>1</v>
      </c>
      <c r="P14" s="77">
        <v>150</v>
      </c>
      <c r="Q14" s="13" t="s">
        <v>52</v>
      </c>
      <c r="R14" s="13" t="s">
        <v>52</v>
      </c>
      <c r="S14" s="13" t="s">
        <v>17</v>
      </c>
      <c r="T14" s="32">
        <v>0.45781249999999901</v>
      </c>
      <c r="U14" s="32">
        <v>0.45478998711218199</v>
      </c>
      <c r="V14" s="32">
        <v>0.19358473217066099</v>
      </c>
      <c r="W14" s="26">
        <v>0.25624999999999998</v>
      </c>
      <c r="X14" s="26">
        <v>0.27238792901166797</v>
      </c>
      <c r="Y14" s="27">
        <v>8.1717280345610602E-3</v>
      </c>
    </row>
    <row r="15" spans="1:27" x14ac:dyDescent="0.3">
      <c r="A15" s="6">
        <v>10</v>
      </c>
      <c r="B15" s="6" t="s">
        <v>16</v>
      </c>
      <c r="C15" s="7">
        <f>MIN(Table1[[#This Row],[per_person]],64)*Table1[[#This Row],[truncate_num]]</f>
        <v>640</v>
      </c>
      <c r="D15" s="59">
        <v>48</v>
      </c>
      <c r="E15" s="64">
        <v>32</v>
      </c>
      <c r="F15" s="9" t="s">
        <v>34</v>
      </c>
      <c r="G15" s="40" t="s">
        <v>38</v>
      </c>
      <c r="H15" s="7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1536</v>
      </c>
      <c r="I15" s="5">
        <v>300</v>
      </c>
      <c r="J15" s="5" t="b">
        <v>0</v>
      </c>
      <c r="K15" s="5" t="s">
        <v>19</v>
      </c>
      <c r="L15" s="10">
        <f>MIN(Table1[[#This Row],[Features]],Table1[[#This Row],[components]])</f>
        <v>300</v>
      </c>
      <c r="M15" s="80" t="b">
        <v>0</v>
      </c>
      <c r="N15" s="44">
        <v>20</v>
      </c>
      <c r="O15" s="44" t="b">
        <v>1</v>
      </c>
      <c r="P15" s="80">
        <v>150</v>
      </c>
      <c r="Q15" s="10" t="s">
        <v>52</v>
      </c>
      <c r="R15" s="10" t="s">
        <v>52</v>
      </c>
      <c r="S15" s="7" t="s">
        <v>17</v>
      </c>
      <c r="T15" s="28">
        <v>0.47343749999999901</v>
      </c>
      <c r="U15" s="28">
        <v>0.496413237072659</v>
      </c>
      <c r="V15" s="28">
        <v>0.101682333964994</v>
      </c>
      <c r="W15" s="24">
        <v>0.3359375</v>
      </c>
      <c r="X15" s="24">
        <v>0.37150729667941801</v>
      </c>
      <c r="Y15" s="25">
        <v>2.8071428827964099E-2</v>
      </c>
    </row>
    <row r="16" spans="1:27" x14ac:dyDescent="0.3">
      <c r="A16" s="12">
        <v>10</v>
      </c>
      <c r="B16" s="12" t="s">
        <v>16</v>
      </c>
      <c r="C16" s="13">
        <f>MIN(Table1[[#This Row],[per_person]],64)*Table1[[#This Row],[truncate_num]]</f>
        <v>640</v>
      </c>
      <c r="D16" s="60">
        <v>48</v>
      </c>
      <c r="E16" s="65">
        <v>12</v>
      </c>
      <c r="F16" s="11" t="s">
        <v>34</v>
      </c>
      <c r="G16" s="40" t="s">
        <v>38</v>
      </c>
      <c r="H16" s="13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2048</v>
      </c>
      <c r="I16" s="14">
        <v>300</v>
      </c>
      <c r="J16" s="14" t="b">
        <v>0</v>
      </c>
      <c r="K16" s="14" t="s">
        <v>19</v>
      </c>
      <c r="L16" s="13">
        <f>MIN(Table1[[#This Row],[Features]],Table1[[#This Row],[components]])</f>
        <v>300</v>
      </c>
      <c r="M16" s="77" t="b">
        <v>0</v>
      </c>
      <c r="N16" s="45">
        <v>20</v>
      </c>
      <c r="O16" s="45" t="b">
        <v>1</v>
      </c>
      <c r="P16" s="77">
        <v>150</v>
      </c>
      <c r="Q16" s="13" t="s">
        <v>52</v>
      </c>
      <c r="R16" s="13" t="s">
        <v>52</v>
      </c>
      <c r="S16" s="13" t="s">
        <v>17</v>
      </c>
      <c r="T16" s="28">
        <v>0.51093750000000004</v>
      </c>
      <c r="U16" s="28">
        <v>0.51118121430581098</v>
      </c>
      <c r="V16" s="28">
        <v>0.104389980006603</v>
      </c>
      <c r="W16" s="26">
        <v>0.33750000000000002</v>
      </c>
      <c r="X16" s="26">
        <v>0.35212173292620702</v>
      </c>
      <c r="Y16" s="27">
        <v>2.1140470794971101E-2</v>
      </c>
    </row>
    <row r="17" spans="1:29" x14ac:dyDescent="0.3">
      <c r="A17" s="6">
        <v>10</v>
      </c>
      <c r="B17" s="6" t="s">
        <v>16</v>
      </c>
      <c r="C17" s="7">
        <f>MIN(Table1[[#This Row],[per_person]],64)*Table1[[#This Row],[truncate_num]]</f>
        <v>640</v>
      </c>
      <c r="D17" s="59">
        <v>48</v>
      </c>
      <c r="E17" s="64">
        <v>20</v>
      </c>
      <c r="F17" s="9" t="s">
        <v>34</v>
      </c>
      <c r="G17" s="40" t="s">
        <v>38</v>
      </c>
      <c r="H17" s="7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2048</v>
      </c>
      <c r="I17" s="5">
        <v>300</v>
      </c>
      <c r="J17" s="5" t="b">
        <v>0</v>
      </c>
      <c r="K17" s="5" t="s">
        <v>19</v>
      </c>
      <c r="L17" s="10">
        <f>MIN(Table1[[#This Row],[Features]],Table1[[#This Row],[components]])</f>
        <v>300</v>
      </c>
      <c r="M17" s="80" t="b">
        <v>0</v>
      </c>
      <c r="N17" s="44">
        <v>20</v>
      </c>
      <c r="O17" s="44" t="b">
        <v>1</v>
      </c>
      <c r="P17" s="80">
        <v>150</v>
      </c>
      <c r="Q17" s="10" t="s">
        <v>52</v>
      </c>
      <c r="R17" s="10" t="s">
        <v>52</v>
      </c>
      <c r="S17" s="7" t="s">
        <v>17</v>
      </c>
      <c r="T17" s="28">
        <v>0.48749999999999999</v>
      </c>
      <c r="U17" s="28">
        <v>0.505731696311018</v>
      </c>
      <c r="V17" s="28">
        <v>0.102929718303559</v>
      </c>
      <c r="W17" s="24">
        <v>0.359375</v>
      </c>
      <c r="X17" s="24">
        <v>0.37126650080712198</v>
      </c>
      <c r="Y17" s="25">
        <v>2.5377223353725699E-2</v>
      </c>
    </row>
    <row r="18" spans="1:29" x14ac:dyDescent="0.3">
      <c r="A18" s="12">
        <v>10</v>
      </c>
      <c r="B18" s="12" t="s">
        <v>16</v>
      </c>
      <c r="C18" s="13">
        <f>MIN(Table1[[#This Row],[per_person]],64)*Table1[[#This Row],[truncate_num]]</f>
        <v>640</v>
      </c>
      <c r="D18" s="60">
        <v>24</v>
      </c>
      <c r="E18" s="65">
        <v>20</v>
      </c>
      <c r="F18" s="11" t="s">
        <v>34</v>
      </c>
      <c r="G18" s="40" t="s">
        <v>38</v>
      </c>
      <c r="H18" s="13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7168</v>
      </c>
      <c r="I18" s="14">
        <v>300</v>
      </c>
      <c r="J18" s="14" t="b">
        <v>0</v>
      </c>
      <c r="K18" s="14" t="s">
        <v>19</v>
      </c>
      <c r="L18" s="13">
        <f>MIN(Table1[[#This Row],[Features]],Table1[[#This Row],[components]])</f>
        <v>300</v>
      </c>
      <c r="M18" s="77" t="b">
        <v>0</v>
      </c>
      <c r="N18" s="45">
        <v>20</v>
      </c>
      <c r="O18" s="45" t="b">
        <v>1</v>
      </c>
      <c r="P18" s="77">
        <v>150</v>
      </c>
      <c r="Q18" s="13" t="s">
        <v>52</v>
      </c>
      <c r="R18" s="13" t="s">
        <v>52</v>
      </c>
      <c r="S18" s="13" t="s">
        <v>17</v>
      </c>
      <c r="T18" s="32">
        <v>0.53281250000000002</v>
      </c>
      <c r="U18" s="32">
        <v>0.54891599812300296</v>
      </c>
      <c r="V18" s="32">
        <v>0.148954916453505</v>
      </c>
      <c r="W18" s="26">
        <v>0.25156250000000002</v>
      </c>
      <c r="X18" s="26">
        <v>0.27549731684840501</v>
      </c>
      <c r="Y18" s="27">
        <v>9.3239390257635509E-3</v>
      </c>
    </row>
    <row r="19" spans="1:29" ht="14.4" customHeight="1" x14ac:dyDescent="0.3">
      <c r="A19" s="6">
        <v>10</v>
      </c>
      <c r="B19" s="6" t="s">
        <v>16</v>
      </c>
      <c r="C19" s="7">
        <f>MIN(Table1[[#This Row],[per_person]],64)*Table1[[#This Row],[truncate_num]]</f>
        <v>640</v>
      </c>
      <c r="D19" s="59">
        <v>64</v>
      </c>
      <c r="E19" s="64">
        <v>20</v>
      </c>
      <c r="F19" s="9" t="s">
        <v>34</v>
      </c>
      <c r="G19" s="40" t="s">
        <v>38</v>
      </c>
      <c r="H19" s="7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1152</v>
      </c>
      <c r="I19" s="5">
        <v>300</v>
      </c>
      <c r="J19" s="5" t="b">
        <v>0</v>
      </c>
      <c r="K19" s="5" t="s">
        <v>19</v>
      </c>
      <c r="L19" s="10">
        <f>MIN(Table1[[#This Row],[Features]],Table1[[#This Row],[components]])</f>
        <v>300</v>
      </c>
      <c r="M19" s="80" t="b">
        <v>0</v>
      </c>
      <c r="N19" s="44">
        <v>20</v>
      </c>
      <c r="O19" s="44" t="b">
        <v>1</v>
      </c>
      <c r="P19" s="80">
        <v>150</v>
      </c>
      <c r="Q19" s="10" t="s">
        <v>52</v>
      </c>
      <c r="R19" s="10" t="s">
        <v>52</v>
      </c>
      <c r="S19" s="7" t="s">
        <v>17</v>
      </c>
      <c r="T19" s="28">
        <v>0.55000000000000004</v>
      </c>
      <c r="U19" s="28">
        <v>0.53627126952111204</v>
      </c>
      <c r="V19" s="28">
        <v>0.120909804716776</v>
      </c>
      <c r="W19" s="15">
        <v>0.3671875</v>
      </c>
      <c r="X19" s="15">
        <v>0.37843316982801101</v>
      </c>
      <c r="Y19" s="16">
        <v>2.7480573179469801E-2</v>
      </c>
      <c r="Z19" s="101" t="s">
        <v>30</v>
      </c>
      <c r="AA19" s="101"/>
      <c r="AB19" s="101"/>
      <c r="AC19" s="101"/>
    </row>
    <row r="20" spans="1:29" x14ac:dyDescent="0.3">
      <c r="A20" s="12">
        <v>10</v>
      </c>
      <c r="B20" s="12" t="s">
        <v>16</v>
      </c>
      <c r="C20" s="13">
        <f>MIN(Table1[[#This Row],[per_person]],64)*Table1[[#This Row],[truncate_num]]</f>
        <v>640</v>
      </c>
      <c r="D20" s="60">
        <v>64</v>
      </c>
      <c r="E20" s="65">
        <v>12</v>
      </c>
      <c r="F20" s="11" t="s">
        <v>34</v>
      </c>
      <c r="G20" s="40" t="s">
        <v>38</v>
      </c>
      <c r="H20" s="13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1152</v>
      </c>
      <c r="I20" s="14">
        <v>300</v>
      </c>
      <c r="J20" s="14" t="b">
        <v>0</v>
      </c>
      <c r="K20" s="14" t="s">
        <v>19</v>
      </c>
      <c r="L20" s="13">
        <f>MIN(Table1[[#This Row],[Features]],Table1[[#This Row],[components]])</f>
        <v>300</v>
      </c>
      <c r="M20" s="77" t="b">
        <v>0</v>
      </c>
      <c r="N20" s="45">
        <v>20</v>
      </c>
      <c r="O20" s="45" t="b">
        <v>1</v>
      </c>
      <c r="P20" s="77">
        <v>150</v>
      </c>
      <c r="Q20" s="13" t="s">
        <v>52</v>
      </c>
      <c r="R20" s="13" t="s">
        <v>52</v>
      </c>
      <c r="S20" s="13" t="s">
        <v>17</v>
      </c>
      <c r="T20" s="28">
        <v>0.484375</v>
      </c>
      <c r="U20" s="28">
        <v>0.42537015159152203</v>
      </c>
      <c r="V20" s="28">
        <v>0.13122800353566</v>
      </c>
      <c r="W20" s="32"/>
      <c r="X20" s="32"/>
      <c r="Y20" s="32"/>
      <c r="Z20" s="101"/>
      <c r="AA20" s="101"/>
      <c r="AB20" s="101"/>
      <c r="AC20" s="101"/>
    </row>
    <row r="21" spans="1:29" x14ac:dyDescent="0.3">
      <c r="A21" s="6">
        <v>10</v>
      </c>
      <c r="B21" s="6" t="s">
        <v>16</v>
      </c>
      <c r="C21" s="7">
        <f>MIN(Table1[[#This Row],[per_person]],64)*Table1[[#This Row],[truncate_num]]</f>
        <v>640</v>
      </c>
      <c r="D21" s="59">
        <v>64</v>
      </c>
      <c r="E21" s="64">
        <v>32</v>
      </c>
      <c r="F21" s="9" t="s">
        <v>34</v>
      </c>
      <c r="G21" s="40" t="s">
        <v>38</v>
      </c>
      <c r="H21" s="7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1152</v>
      </c>
      <c r="I21" s="5">
        <v>300</v>
      </c>
      <c r="J21" s="5" t="b">
        <v>0</v>
      </c>
      <c r="K21" s="5" t="s">
        <v>19</v>
      </c>
      <c r="L21" s="10">
        <f>MIN(Table1[[#This Row],[Features]],Table1[[#This Row],[components]])</f>
        <v>300</v>
      </c>
      <c r="M21" s="80" t="b">
        <v>0</v>
      </c>
      <c r="N21" s="44">
        <v>20</v>
      </c>
      <c r="O21" s="44" t="b">
        <v>1</v>
      </c>
      <c r="P21" s="80">
        <v>150</v>
      </c>
      <c r="Q21" s="10" t="s">
        <v>52</v>
      </c>
      <c r="R21" s="10" t="s">
        <v>52</v>
      </c>
      <c r="S21" s="7" t="s">
        <v>17</v>
      </c>
      <c r="T21" s="28">
        <v>0.49062499999999998</v>
      </c>
      <c r="U21" s="28">
        <v>0.51686203865004798</v>
      </c>
      <c r="V21" s="28">
        <v>0.111233267754503</v>
      </c>
      <c r="W21" s="32"/>
      <c r="X21" s="32"/>
      <c r="Y21" s="32"/>
      <c r="Z21" s="101"/>
      <c r="AA21" s="101"/>
      <c r="AB21" s="101"/>
      <c r="AC21" s="101"/>
    </row>
    <row r="22" spans="1:29" x14ac:dyDescent="0.3">
      <c r="A22" s="12">
        <v>10</v>
      </c>
      <c r="B22" s="12" t="s">
        <v>16</v>
      </c>
      <c r="C22" s="13">
        <f>MIN(Table1[[#This Row],[per_person]],64)*Table1[[#This Row],[truncate_num]]</f>
        <v>640</v>
      </c>
      <c r="D22" s="60">
        <v>24</v>
      </c>
      <c r="E22" s="65">
        <v>12</v>
      </c>
      <c r="F22" s="11" t="s">
        <v>34</v>
      </c>
      <c r="G22" s="40" t="s">
        <v>38</v>
      </c>
      <c r="H22" s="13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7168</v>
      </c>
      <c r="I22" s="14">
        <v>300</v>
      </c>
      <c r="J22" s="14" t="b">
        <v>0</v>
      </c>
      <c r="K22" s="14" t="s">
        <v>19</v>
      </c>
      <c r="L22" s="13">
        <f>MIN(Table1[[#This Row],[Features]],Table1[[#This Row],[components]])</f>
        <v>300</v>
      </c>
      <c r="M22" s="77" t="b">
        <v>0</v>
      </c>
      <c r="N22" s="45">
        <v>20</v>
      </c>
      <c r="O22" s="45" t="b">
        <v>1</v>
      </c>
      <c r="P22" s="77">
        <v>150</v>
      </c>
      <c r="Q22" s="13" t="s">
        <v>52</v>
      </c>
      <c r="R22" s="13" t="s">
        <v>52</v>
      </c>
      <c r="S22" s="13" t="s">
        <v>17</v>
      </c>
      <c r="T22" s="28">
        <v>0.55625000000000002</v>
      </c>
      <c r="U22" s="28">
        <v>0.55299446967280297</v>
      </c>
      <c r="V22" s="28">
        <v>0.149203234222516</v>
      </c>
      <c r="W22" s="32"/>
      <c r="X22" s="32"/>
      <c r="Y22" s="32"/>
      <c r="Z22" s="101"/>
      <c r="AA22" s="101"/>
      <c r="AB22" s="101"/>
      <c r="AC22" s="101"/>
    </row>
    <row r="23" spans="1:29" x14ac:dyDescent="0.3">
      <c r="A23" s="6">
        <v>10</v>
      </c>
      <c r="B23" s="6" t="s">
        <v>16</v>
      </c>
      <c r="C23" s="7">
        <f>MIN(Table1[[#This Row],[per_person]],64)*Table1[[#This Row],[truncate_num]]</f>
        <v>640</v>
      </c>
      <c r="D23" s="59">
        <v>24</v>
      </c>
      <c r="E23" s="64">
        <v>32</v>
      </c>
      <c r="F23" s="9" t="s">
        <v>34</v>
      </c>
      <c r="G23" s="40" t="s">
        <v>38</v>
      </c>
      <c r="H23" s="7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5376</v>
      </c>
      <c r="I23" s="5">
        <v>300</v>
      </c>
      <c r="J23" s="5" t="b">
        <v>0</v>
      </c>
      <c r="K23" s="5" t="s">
        <v>19</v>
      </c>
      <c r="L23" s="10">
        <f>MIN(Table1[[#This Row],[Features]],Table1[[#This Row],[components]])</f>
        <v>300</v>
      </c>
      <c r="M23" s="80" t="b">
        <v>0</v>
      </c>
      <c r="N23" s="44">
        <v>20</v>
      </c>
      <c r="O23" s="44" t="b">
        <v>1</v>
      </c>
      <c r="P23" s="80">
        <v>150</v>
      </c>
      <c r="Q23" s="10" t="s">
        <v>52</v>
      </c>
      <c r="R23" s="10" t="s">
        <v>52</v>
      </c>
      <c r="S23" s="7" t="s">
        <v>17</v>
      </c>
      <c r="T23" s="28">
        <v>0.4140625</v>
      </c>
      <c r="U23" s="28">
        <v>0.40323850050945698</v>
      </c>
      <c r="V23" s="28">
        <v>0.115114144159521</v>
      </c>
      <c r="W23" s="28"/>
      <c r="X23" s="28"/>
      <c r="Y23" s="28"/>
      <c r="Z23" s="101"/>
      <c r="AA23" s="101"/>
      <c r="AB23" s="101"/>
      <c r="AC23" s="101"/>
    </row>
    <row r="24" spans="1:29" x14ac:dyDescent="0.3">
      <c r="A24" s="12">
        <v>10</v>
      </c>
      <c r="B24" s="12" t="s">
        <v>16</v>
      </c>
      <c r="C24" s="13">
        <f>MIN(Table1[[#This Row],[per_person]],64)*Table1[[#This Row],[truncate_num]]</f>
        <v>640</v>
      </c>
      <c r="D24" s="60">
        <v>12</v>
      </c>
      <c r="E24" s="65">
        <v>12</v>
      </c>
      <c r="F24" s="11" t="s">
        <v>34</v>
      </c>
      <c r="G24" s="40" t="s">
        <v>38</v>
      </c>
      <c r="H24" s="13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24" s="14">
        <v>300</v>
      </c>
      <c r="J24" s="14" t="b">
        <v>0</v>
      </c>
      <c r="K24" s="14" t="s">
        <v>19</v>
      </c>
      <c r="L24" s="13">
        <f>MIN(Table1[[#This Row],[Features]],Table1[[#This Row],[components]])</f>
        <v>300</v>
      </c>
      <c r="M24" s="77" t="b">
        <v>0</v>
      </c>
      <c r="N24" s="45">
        <v>20</v>
      </c>
      <c r="O24" s="45" t="b">
        <v>1</v>
      </c>
      <c r="P24" s="77">
        <v>150</v>
      </c>
      <c r="Q24" s="13" t="s">
        <v>52</v>
      </c>
      <c r="R24" s="13" t="s">
        <v>52</v>
      </c>
      <c r="S24" s="13" t="s">
        <v>17</v>
      </c>
      <c r="T24" s="28">
        <v>0.58125000000000004</v>
      </c>
      <c r="U24" s="28">
        <v>0.59282748252133199</v>
      </c>
      <c r="V24" s="28">
        <v>0.20542016812986399</v>
      </c>
      <c r="W24" s="32"/>
      <c r="X24" s="32"/>
      <c r="Y24" s="32"/>
      <c r="Z24" s="101"/>
      <c r="AA24" s="101"/>
      <c r="AB24" s="101"/>
      <c r="AC24" s="101"/>
    </row>
    <row r="25" spans="1:29" x14ac:dyDescent="0.3">
      <c r="A25" s="6">
        <v>10</v>
      </c>
      <c r="B25" s="6" t="s">
        <v>16</v>
      </c>
      <c r="C25" s="7">
        <f>MIN(Table1[[#This Row],[per_person]],64)*Table1[[#This Row],[truncate_num]]</f>
        <v>640</v>
      </c>
      <c r="D25" s="59">
        <v>10</v>
      </c>
      <c r="E25" s="64">
        <v>10</v>
      </c>
      <c r="F25" s="9" t="s">
        <v>34</v>
      </c>
      <c r="G25" s="40" t="s">
        <v>38</v>
      </c>
      <c r="H25" s="7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38912</v>
      </c>
      <c r="I25" s="5">
        <v>300</v>
      </c>
      <c r="J25" s="5" t="b">
        <v>0</v>
      </c>
      <c r="K25" s="5" t="s">
        <v>19</v>
      </c>
      <c r="L25" s="10">
        <f>MIN(Table1[[#This Row],[Features]],Table1[[#This Row],[components]])</f>
        <v>300</v>
      </c>
      <c r="M25" s="80" t="b">
        <v>0</v>
      </c>
      <c r="N25" s="44">
        <v>20</v>
      </c>
      <c r="O25" s="44" t="b">
        <v>1</v>
      </c>
      <c r="P25" s="80">
        <v>150</v>
      </c>
      <c r="Q25" s="10" t="s">
        <v>52</v>
      </c>
      <c r="R25" s="10" t="s">
        <v>52</v>
      </c>
      <c r="S25" s="7" t="s">
        <v>17</v>
      </c>
      <c r="T25" s="28">
        <v>0.609375</v>
      </c>
      <c r="U25" s="28">
        <v>0.61316265618717203</v>
      </c>
      <c r="V25" s="28">
        <v>0.238042537314997</v>
      </c>
      <c r="W25" s="32"/>
      <c r="X25" s="32"/>
      <c r="Y25" s="32"/>
    </row>
    <row r="26" spans="1:29" x14ac:dyDescent="0.3">
      <c r="A26" s="12">
        <v>10</v>
      </c>
      <c r="B26" s="12" t="s">
        <v>16</v>
      </c>
      <c r="C26" s="13">
        <f>MIN(Table1[[#This Row],[per_person]],64)*Table1[[#This Row],[truncate_num]]</f>
        <v>640</v>
      </c>
      <c r="D26" s="60">
        <v>8</v>
      </c>
      <c r="E26" s="65">
        <v>8</v>
      </c>
      <c r="F26" s="11" t="s">
        <v>34</v>
      </c>
      <c r="G26" s="40" t="s">
        <v>38</v>
      </c>
      <c r="H26" s="13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64512</v>
      </c>
      <c r="I26" s="14">
        <v>300</v>
      </c>
      <c r="J26" s="14" t="b">
        <v>0</v>
      </c>
      <c r="K26" s="14" t="s">
        <v>19</v>
      </c>
      <c r="L26" s="13">
        <f>MIN(Table1[[#This Row],[Features]],Table1[[#This Row],[components]])</f>
        <v>300</v>
      </c>
      <c r="M26" s="77" t="b">
        <v>0</v>
      </c>
      <c r="N26" s="45">
        <v>20</v>
      </c>
      <c r="O26" s="45" t="b">
        <v>1</v>
      </c>
      <c r="P26" s="77">
        <v>150</v>
      </c>
      <c r="Q26" s="13" t="s">
        <v>52</v>
      </c>
      <c r="R26" s="13" t="s">
        <v>52</v>
      </c>
      <c r="S26" s="13" t="s">
        <v>17</v>
      </c>
      <c r="T26" s="28">
        <v>0.65312499999999996</v>
      </c>
      <c r="U26" s="28">
        <v>0.62490982317316801</v>
      </c>
      <c r="V26" s="28">
        <v>0.23511359326460099</v>
      </c>
      <c r="W26" s="32"/>
      <c r="X26" s="32"/>
      <c r="Y26" s="32"/>
    </row>
    <row r="27" spans="1:29" ht="14.4" customHeight="1" thickBot="1" x14ac:dyDescent="0.35">
      <c r="A27" s="6">
        <v>10</v>
      </c>
      <c r="B27" s="6" t="s">
        <v>16</v>
      </c>
      <c r="C27" s="7">
        <f>MIN(Table1[[#This Row],[per_person]],64)*Table1[[#This Row],[truncate_num]]</f>
        <v>640</v>
      </c>
      <c r="D27" s="61">
        <v>4</v>
      </c>
      <c r="E27" s="66">
        <v>4</v>
      </c>
      <c r="F27" s="9" t="s">
        <v>34</v>
      </c>
      <c r="G27" s="40" t="s">
        <v>38</v>
      </c>
      <c r="H27" s="7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258048</v>
      </c>
      <c r="I27" s="5">
        <v>300</v>
      </c>
      <c r="J27" s="5" t="b">
        <v>0</v>
      </c>
      <c r="K27" s="5" t="s">
        <v>19</v>
      </c>
      <c r="L27" s="10">
        <f>MIN(Table1[[#This Row],[Features]],Table1[[#This Row],[components]])</f>
        <v>300</v>
      </c>
      <c r="M27" s="80" t="b">
        <v>0</v>
      </c>
      <c r="N27" s="44">
        <v>20</v>
      </c>
      <c r="O27" s="44" t="b">
        <v>1</v>
      </c>
      <c r="P27" s="80">
        <v>150</v>
      </c>
      <c r="Q27" s="10" t="s">
        <v>52</v>
      </c>
      <c r="R27" s="10" t="s">
        <v>52</v>
      </c>
      <c r="S27" s="7" t="s">
        <v>17</v>
      </c>
      <c r="T27" s="32">
        <v>0.7578125</v>
      </c>
      <c r="U27" s="32">
        <v>0.72899302241493702</v>
      </c>
      <c r="V27" s="32">
        <v>0.42382183987739902</v>
      </c>
      <c r="W27" s="32"/>
      <c r="X27" s="32"/>
      <c r="Y27" s="32"/>
      <c r="Z27" s="101" t="s">
        <v>31</v>
      </c>
      <c r="AA27" s="101"/>
      <c r="AB27" s="101"/>
      <c r="AC27" s="101"/>
    </row>
    <row r="28" spans="1:29" x14ac:dyDescent="0.3">
      <c r="A28" s="12">
        <v>10</v>
      </c>
      <c r="B28" s="12" t="s">
        <v>16</v>
      </c>
      <c r="C28" s="13">
        <f>MIN(Table1[[#This Row],[per_person]],64)*Table1[[#This Row],[truncate_num]]</f>
        <v>640</v>
      </c>
      <c r="D28" s="11">
        <v>12</v>
      </c>
      <c r="E28" s="11">
        <v>12</v>
      </c>
      <c r="F28" s="38" t="s">
        <v>35</v>
      </c>
      <c r="G28" s="41" t="s">
        <v>39</v>
      </c>
      <c r="H28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60928</v>
      </c>
      <c r="I28" s="14">
        <v>300</v>
      </c>
      <c r="J28" s="62" t="b">
        <v>0</v>
      </c>
      <c r="K28" s="67" t="s">
        <v>19</v>
      </c>
      <c r="L28" s="39">
        <f>MIN(Table1[[#This Row],[Features]],Table1[[#This Row],[components]])</f>
        <v>300</v>
      </c>
      <c r="M28" s="77" t="b">
        <v>0</v>
      </c>
      <c r="N28" s="45">
        <v>20</v>
      </c>
      <c r="O28" s="45" t="b">
        <v>1</v>
      </c>
      <c r="P28" s="77">
        <v>150</v>
      </c>
      <c r="Q28" s="13" t="s">
        <v>52</v>
      </c>
      <c r="R28" s="13" t="s">
        <v>52</v>
      </c>
      <c r="S28" s="13" t="s">
        <v>17</v>
      </c>
      <c r="T28" s="32">
        <v>0.46250000000000002</v>
      </c>
      <c r="U28" s="32">
        <v>0.45091198484485201</v>
      </c>
      <c r="V28" s="32">
        <v>0.170136206242362</v>
      </c>
      <c r="W28" s="32"/>
      <c r="X28" s="32"/>
      <c r="Y28" s="32"/>
      <c r="Z28" s="101"/>
      <c r="AA28" s="101"/>
      <c r="AB28" s="101"/>
      <c r="AC28" s="101"/>
    </row>
    <row r="29" spans="1:29" x14ac:dyDescent="0.3">
      <c r="A29" s="6">
        <v>10</v>
      </c>
      <c r="B29" s="6" t="s">
        <v>16</v>
      </c>
      <c r="C29" s="7">
        <f>MIN(Table1[[#This Row],[per_person]],64)*Table1[[#This Row],[truncate_num]]</f>
        <v>640</v>
      </c>
      <c r="D29" s="8">
        <v>12</v>
      </c>
      <c r="E29" s="8">
        <v>12</v>
      </c>
      <c r="F29" s="8" t="s">
        <v>35</v>
      </c>
      <c r="G29" s="42" t="s">
        <v>39</v>
      </c>
      <c r="H29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60928</v>
      </c>
      <c r="I29" s="5">
        <v>300</v>
      </c>
      <c r="J29" s="53" t="b">
        <v>1</v>
      </c>
      <c r="K29" s="54" t="s">
        <v>19</v>
      </c>
      <c r="L29" s="10">
        <f>MIN(Table1[[#This Row],[Features]],Table1[[#This Row],[components]])</f>
        <v>300</v>
      </c>
      <c r="M29" s="80" t="b">
        <v>0</v>
      </c>
      <c r="N29" s="44">
        <v>20</v>
      </c>
      <c r="O29" s="44" t="b">
        <v>1</v>
      </c>
      <c r="P29" s="80">
        <v>150</v>
      </c>
      <c r="Q29" s="10" t="s">
        <v>52</v>
      </c>
      <c r="R29" s="10" t="s">
        <v>52</v>
      </c>
      <c r="S29" s="7" t="s">
        <v>17</v>
      </c>
      <c r="T29" s="28">
        <v>0.44999999999999901</v>
      </c>
      <c r="U29" s="28">
        <v>0.43668336191175999</v>
      </c>
      <c r="V29" s="28">
        <v>0.150534997673923</v>
      </c>
      <c r="W29" s="28"/>
      <c r="X29" s="28"/>
      <c r="Y29" s="28"/>
      <c r="Z29" s="101"/>
      <c r="AA29" s="101"/>
      <c r="AB29" s="101"/>
      <c r="AC29" s="101"/>
    </row>
    <row r="30" spans="1:29" x14ac:dyDescent="0.3">
      <c r="A30" s="12">
        <v>10</v>
      </c>
      <c r="B30" s="12" t="s">
        <v>16</v>
      </c>
      <c r="C30" s="13">
        <f>MIN(Table1[[#This Row],[per_person]],64)*Table1[[#This Row],[truncate_num]]</f>
        <v>640</v>
      </c>
      <c r="D30" s="11">
        <v>12</v>
      </c>
      <c r="E30" s="11">
        <v>12</v>
      </c>
      <c r="F30" s="11" t="s">
        <v>35</v>
      </c>
      <c r="G30" s="41" t="s">
        <v>39</v>
      </c>
      <c r="H30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60928</v>
      </c>
      <c r="I30" s="14">
        <v>300</v>
      </c>
      <c r="J30" s="51" t="b">
        <v>0</v>
      </c>
      <c r="K30" s="52" t="s">
        <v>18</v>
      </c>
      <c r="L30" s="39">
        <f>MIN(Table1[[#This Row],[Features]],Table1[[#This Row],[components]])</f>
        <v>300</v>
      </c>
      <c r="M30" s="77" t="b">
        <v>0</v>
      </c>
      <c r="N30" s="45">
        <v>20</v>
      </c>
      <c r="O30" s="45" t="b">
        <v>1</v>
      </c>
      <c r="P30" s="77">
        <v>150</v>
      </c>
      <c r="Q30" s="13" t="s">
        <v>52</v>
      </c>
      <c r="R30" s="13" t="s">
        <v>52</v>
      </c>
      <c r="S30" s="13" t="s">
        <v>17</v>
      </c>
      <c r="T30" s="28">
        <v>0.46250000000000002</v>
      </c>
      <c r="U30" s="28">
        <v>0.45091198484485201</v>
      </c>
      <c r="V30" s="28">
        <v>0.170136206242362</v>
      </c>
      <c r="W30" s="28"/>
      <c r="X30" s="28"/>
      <c r="Y30" s="28"/>
      <c r="Z30" s="101"/>
      <c r="AA30" s="101"/>
      <c r="AB30" s="101"/>
      <c r="AC30" s="101"/>
    </row>
    <row r="31" spans="1:29" x14ac:dyDescent="0.3">
      <c r="A31" s="6">
        <v>10</v>
      </c>
      <c r="B31" s="6" t="s">
        <v>16</v>
      </c>
      <c r="C31" s="7">
        <f>MIN(Table1[[#This Row],[per_person]],64)*Table1[[#This Row],[truncate_num]]</f>
        <v>640</v>
      </c>
      <c r="D31" s="8">
        <v>12</v>
      </c>
      <c r="E31" s="8">
        <v>12</v>
      </c>
      <c r="F31" s="8" t="s">
        <v>35</v>
      </c>
      <c r="G31" s="42" t="s">
        <v>39</v>
      </c>
      <c r="H31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60928</v>
      </c>
      <c r="I31" s="5">
        <v>300</v>
      </c>
      <c r="J31" s="53" t="b">
        <v>1</v>
      </c>
      <c r="K31" s="54" t="s">
        <v>18</v>
      </c>
      <c r="L31" s="10">
        <f>MIN(Table1[[#This Row],[Features]],Table1[[#This Row],[components]])</f>
        <v>300</v>
      </c>
      <c r="M31" s="80" t="b">
        <v>0</v>
      </c>
      <c r="N31" s="44">
        <v>20</v>
      </c>
      <c r="O31" s="44" t="b">
        <v>1</v>
      </c>
      <c r="P31" s="80">
        <v>150</v>
      </c>
      <c r="Q31" s="10" t="s">
        <v>52</v>
      </c>
      <c r="R31" s="10" t="s">
        <v>52</v>
      </c>
      <c r="S31" s="7" t="s">
        <v>17</v>
      </c>
      <c r="T31" s="28">
        <v>0.453125</v>
      </c>
      <c r="U31" s="28">
        <v>0.43687598924774601</v>
      </c>
      <c r="V31" s="28">
        <v>0.15264701878236001</v>
      </c>
      <c r="W31" s="32"/>
      <c r="X31" s="32"/>
      <c r="Y31" s="32"/>
      <c r="Z31" s="101"/>
      <c r="AA31" s="101"/>
      <c r="AB31" s="101"/>
      <c r="AC31" s="101"/>
    </row>
    <row r="32" spans="1:29" x14ac:dyDescent="0.3">
      <c r="A32" s="12">
        <v>10</v>
      </c>
      <c r="B32" s="12" t="s">
        <v>16</v>
      </c>
      <c r="C32" s="13">
        <f>MIN(Table1[[#This Row],[per_person]],64)*Table1[[#This Row],[truncate_num]]</f>
        <v>640</v>
      </c>
      <c r="D32" s="11">
        <v>12</v>
      </c>
      <c r="E32" s="11">
        <v>12</v>
      </c>
      <c r="F32" s="11" t="s">
        <v>35</v>
      </c>
      <c r="G32" s="41" t="s">
        <v>39</v>
      </c>
      <c r="H32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60928</v>
      </c>
      <c r="I32" s="14">
        <v>300</v>
      </c>
      <c r="J32" s="51" t="b">
        <v>0</v>
      </c>
      <c r="K32" s="52" t="s">
        <v>7</v>
      </c>
      <c r="L32" s="39">
        <f>MIN(Table1[[#This Row],[Features]],Table1[[#This Row],[components]])</f>
        <v>300</v>
      </c>
      <c r="M32" s="77" t="b">
        <v>0</v>
      </c>
      <c r="N32" s="45">
        <v>20</v>
      </c>
      <c r="O32" s="45" t="b">
        <v>1</v>
      </c>
      <c r="P32" s="77">
        <v>150</v>
      </c>
      <c r="Q32" s="13" t="s">
        <v>52</v>
      </c>
      <c r="R32" s="13" t="s">
        <v>52</v>
      </c>
      <c r="S32" s="13" t="s">
        <v>17</v>
      </c>
      <c r="T32" s="28">
        <v>0.4609375</v>
      </c>
      <c r="U32" s="28">
        <v>0.450130369411959</v>
      </c>
      <c r="V32" s="28">
        <v>0.165880713971129</v>
      </c>
      <c r="W32" s="28"/>
      <c r="X32" s="28"/>
      <c r="Y32" s="28"/>
      <c r="Z32" s="101"/>
      <c r="AA32" s="101"/>
      <c r="AB32" s="101"/>
      <c r="AC32" s="101"/>
    </row>
    <row r="33" spans="1:25" x14ac:dyDescent="0.3">
      <c r="A33" s="6">
        <v>10</v>
      </c>
      <c r="B33" s="6" t="s">
        <v>16</v>
      </c>
      <c r="C33" s="7">
        <f>MIN(Table1[[#This Row],[per_person]],64)*Table1[[#This Row],[truncate_num]]</f>
        <v>640</v>
      </c>
      <c r="D33" s="8">
        <v>12</v>
      </c>
      <c r="E33" s="8">
        <v>12</v>
      </c>
      <c r="F33" s="8" t="s">
        <v>35</v>
      </c>
      <c r="G33" s="42" t="s">
        <v>39</v>
      </c>
      <c r="H33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60928</v>
      </c>
      <c r="I33" s="5">
        <v>300</v>
      </c>
      <c r="J33" s="53" t="b">
        <v>1</v>
      </c>
      <c r="K33" s="54" t="s">
        <v>7</v>
      </c>
      <c r="L33" s="10">
        <f>MIN(Table1[[#This Row],[Features]],Table1[[#This Row],[components]])</f>
        <v>300</v>
      </c>
      <c r="M33" s="80" t="b">
        <v>0</v>
      </c>
      <c r="N33" s="44">
        <v>20</v>
      </c>
      <c r="O33" s="44" t="b">
        <v>1</v>
      </c>
      <c r="P33" s="80">
        <v>150</v>
      </c>
      <c r="Q33" s="10" t="s">
        <v>52</v>
      </c>
      <c r="R33" s="10" t="s">
        <v>52</v>
      </c>
      <c r="S33" s="7" t="s">
        <v>17</v>
      </c>
      <c r="T33" s="28">
        <v>0.43906250000000002</v>
      </c>
      <c r="U33" s="28">
        <v>0.42204362570314102</v>
      </c>
      <c r="V33" s="28">
        <v>0.13579207312417901</v>
      </c>
      <c r="W33" s="28"/>
      <c r="X33" s="28"/>
      <c r="Y33" s="28"/>
    </row>
    <row r="34" spans="1:25" x14ac:dyDescent="0.3">
      <c r="A34" s="12">
        <v>10</v>
      </c>
      <c r="B34" s="12" t="s">
        <v>16</v>
      </c>
      <c r="C34" s="13">
        <f>MIN(Table1[[#This Row],[per_person]],64)*Table1[[#This Row],[truncate_num]]</f>
        <v>640</v>
      </c>
      <c r="D34" s="11">
        <v>12</v>
      </c>
      <c r="E34" s="11">
        <v>12</v>
      </c>
      <c r="F34" s="11" t="s">
        <v>35</v>
      </c>
      <c r="G34" s="41" t="s">
        <v>39</v>
      </c>
      <c r="H34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60928</v>
      </c>
      <c r="I34" s="14">
        <v>300</v>
      </c>
      <c r="J34" s="51" t="b">
        <v>0</v>
      </c>
      <c r="K34" s="52" t="s">
        <v>36</v>
      </c>
      <c r="L34" s="39">
        <f>MIN(Table1[[#This Row],[Features]],Table1[[#This Row],[components]])</f>
        <v>300</v>
      </c>
      <c r="M34" s="77" t="b">
        <v>0</v>
      </c>
      <c r="N34" s="45">
        <v>20</v>
      </c>
      <c r="O34" s="45" t="b">
        <v>1</v>
      </c>
      <c r="P34" s="77">
        <v>150</v>
      </c>
      <c r="Q34" s="13" t="s">
        <v>52</v>
      </c>
      <c r="R34" s="13" t="s">
        <v>52</v>
      </c>
      <c r="S34" s="13" t="s">
        <v>17</v>
      </c>
      <c r="T34" s="28">
        <v>0.4609375</v>
      </c>
      <c r="U34" s="28">
        <v>0.450130369411959</v>
      </c>
      <c r="V34" s="28">
        <v>0.165880713971129</v>
      </c>
      <c r="W34" s="28"/>
      <c r="X34" s="28"/>
      <c r="Y34" s="28"/>
    </row>
    <row r="35" spans="1:25" ht="15" thickBot="1" x14ac:dyDescent="0.35">
      <c r="A35" s="6">
        <v>10</v>
      </c>
      <c r="B35" s="6" t="s">
        <v>16</v>
      </c>
      <c r="C35" s="7">
        <f>MIN(Table1[[#This Row],[per_person]],64)*Table1[[#This Row],[truncate_num]]</f>
        <v>640</v>
      </c>
      <c r="D35" s="8">
        <v>12</v>
      </c>
      <c r="E35" s="8">
        <v>12</v>
      </c>
      <c r="F35" s="8" t="s">
        <v>35</v>
      </c>
      <c r="G35" s="42" t="s">
        <v>39</v>
      </c>
      <c r="H35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60928</v>
      </c>
      <c r="I35" s="5">
        <v>300</v>
      </c>
      <c r="J35" s="55" t="b">
        <v>1</v>
      </c>
      <c r="K35" s="57" t="s">
        <v>36</v>
      </c>
      <c r="L35" s="10">
        <f>MIN(Table1[[#This Row],[Features]],Table1[[#This Row],[components]])</f>
        <v>300</v>
      </c>
      <c r="M35" s="80" t="b">
        <v>0</v>
      </c>
      <c r="N35" s="44">
        <v>20</v>
      </c>
      <c r="O35" s="44" t="b">
        <v>1</v>
      </c>
      <c r="P35" s="80">
        <v>150</v>
      </c>
      <c r="Q35" s="10" t="s">
        <v>52</v>
      </c>
      <c r="R35" s="10" t="s">
        <v>52</v>
      </c>
      <c r="S35" s="7" t="s">
        <v>17</v>
      </c>
      <c r="T35" s="28">
        <v>0.43906250000000002</v>
      </c>
      <c r="U35" s="28">
        <v>0.43050773665682801</v>
      </c>
      <c r="V35" s="28">
        <v>0.14231616119710899</v>
      </c>
      <c r="W35" s="28"/>
      <c r="X35" s="28"/>
      <c r="Y35" s="28"/>
    </row>
    <row r="36" spans="1:25" x14ac:dyDescent="0.3">
      <c r="A36" s="12">
        <v>10</v>
      </c>
      <c r="B36" s="12" t="s">
        <v>16</v>
      </c>
      <c r="C36" s="13">
        <f>MIN(Table1[[#This Row],[per_person]],64)*Table1[[#This Row],[truncate_num]]</f>
        <v>640</v>
      </c>
      <c r="D36" s="11">
        <v>12</v>
      </c>
      <c r="E36" s="11">
        <v>12</v>
      </c>
      <c r="F36" s="58" t="s">
        <v>35</v>
      </c>
      <c r="G36" s="68" t="s">
        <v>40</v>
      </c>
      <c r="H36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60928</v>
      </c>
      <c r="I36" s="14">
        <v>300</v>
      </c>
      <c r="J36" s="14" t="b">
        <v>0</v>
      </c>
      <c r="K36" s="14" t="s">
        <v>19</v>
      </c>
      <c r="L36" s="39">
        <f>MIN(Table1[[#This Row],[Features]],Table1[[#This Row],[components]])</f>
        <v>300</v>
      </c>
      <c r="M36" s="77" t="b">
        <v>0</v>
      </c>
      <c r="N36" s="45">
        <v>20</v>
      </c>
      <c r="O36" s="45" t="b">
        <v>1</v>
      </c>
      <c r="P36" s="77">
        <v>150</v>
      </c>
      <c r="Q36" s="13" t="s">
        <v>52</v>
      </c>
      <c r="R36" s="13" t="s">
        <v>52</v>
      </c>
      <c r="S36" s="13" t="s">
        <v>17</v>
      </c>
      <c r="T36" s="28">
        <v>0.42656249999999901</v>
      </c>
      <c r="U36" s="28">
        <v>0.391455378386797</v>
      </c>
      <c r="V36" s="28">
        <v>0.14903793753665801</v>
      </c>
      <c r="W36" s="28"/>
      <c r="X36" s="28"/>
      <c r="Y36" s="28"/>
    </row>
    <row r="37" spans="1:25" x14ac:dyDescent="0.3">
      <c r="A37" s="6">
        <v>10</v>
      </c>
      <c r="B37" s="6" t="s">
        <v>16</v>
      </c>
      <c r="C37" s="7">
        <f>MIN(Table1[[#This Row],[per_person]],64)*Table1[[#This Row],[truncate_num]]</f>
        <v>640</v>
      </c>
      <c r="D37" s="8">
        <v>12</v>
      </c>
      <c r="E37" s="8">
        <v>12</v>
      </c>
      <c r="F37" s="59" t="s">
        <v>35</v>
      </c>
      <c r="G37" s="69" t="s">
        <v>39</v>
      </c>
      <c r="H37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60928</v>
      </c>
      <c r="I37" s="5">
        <v>300</v>
      </c>
      <c r="J37" s="5" t="b">
        <v>0</v>
      </c>
      <c r="K37" s="5" t="s">
        <v>19</v>
      </c>
      <c r="L37" s="10">
        <f>MIN(Table1[[#This Row],[Features]],Table1[[#This Row],[components]])</f>
        <v>300</v>
      </c>
      <c r="M37" s="80" t="b">
        <v>0</v>
      </c>
      <c r="N37" s="44">
        <v>20</v>
      </c>
      <c r="O37" s="44" t="b">
        <v>1</v>
      </c>
      <c r="P37" s="80">
        <v>150</v>
      </c>
      <c r="Q37" s="10" t="s">
        <v>52</v>
      </c>
      <c r="R37" s="10" t="s">
        <v>52</v>
      </c>
      <c r="S37" s="7" t="s">
        <v>17</v>
      </c>
      <c r="T37" s="28">
        <v>0.46406249999999999</v>
      </c>
      <c r="U37" s="28">
        <v>0.45242293868300798</v>
      </c>
      <c r="V37" s="28">
        <v>0.17187339539910801</v>
      </c>
      <c r="W37" s="28"/>
      <c r="X37" s="28"/>
      <c r="Y37" s="28"/>
    </row>
    <row r="38" spans="1:25" x14ac:dyDescent="0.3">
      <c r="A38" s="12">
        <v>10</v>
      </c>
      <c r="B38" s="12" t="s">
        <v>16</v>
      </c>
      <c r="C38" s="13">
        <f>MIN(Table1[[#This Row],[per_person]],64)*Table1[[#This Row],[truncate_num]]</f>
        <v>640</v>
      </c>
      <c r="D38" s="11">
        <v>12</v>
      </c>
      <c r="E38" s="11">
        <v>12</v>
      </c>
      <c r="F38" s="60" t="s">
        <v>35</v>
      </c>
      <c r="G38" s="70" t="s">
        <v>41</v>
      </c>
      <c r="H38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60928</v>
      </c>
      <c r="I38" s="14">
        <v>300</v>
      </c>
      <c r="J38" s="14" t="b">
        <v>0</v>
      </c>
      <c r="K38" s="14" t="s">
        <v>19</v>
      </c>
      <c r="L38" s="39">
        <f>MIN(Table1[[#This Row],[Features]],Table1[[#This Row],[components]])</f>
        <v>300</v>
      </c>
      <c r="M38" s="77" t="b">
        <v>0</v>
      </c>
      <c r="N38" s="45">
        <v>20</v>
      </c>
      <c r="O38" s="45" t="b">
        <v>1</v>
      </c>
      <c r="P38" s="77">
        <v>150</v>
      </c>
      <c r="Q38" s="13" t="s">
        <v>52</v>
      </c>
      <c r="R38" s="13" t="s">
        <v>52</v>
      </c>
      <c r="S38" s="13" t="s">
        <v>17</v>
      </c>
      <c r="T38" s="28">
        <v>0.47187499999999999</v>
      </c>
      <c r="U38" s="28">
        <v>0.471871394315522</v>
      </c>
      <c r="V38" s="28">
        <v>0.190507721005647</v>
      </c>
      <c r="W38" s="28"/>
      <c r="X38" s="28"/>
      <c r="Y38" s="28"/>
    </row>
    <row r="39" spans="1:25" x14ac:dyDescent="0.3">
      <c r="A39" s="6">
        <v>10</v>
      </c>
      <c r="B39" s="6" t="s">
        <v>16</v>
      </c>
      <c r="C39" s="7">
        <f>MIN(Table1[[#This Row],[per_person]],64)*Table1[[#This Row],[truncate_num]]</f>
        <v>640</v>
      </c>
      <c r="D39" s="8">
        <v>12</v>
      </c>
      <c r="E39" s="8">
        <v>12</v>
      </c>
      <c r="F39" s="59" t="s">
        <v>35</v>
      </c>
      <c r="G39" s="69" t="s">
        <v>42</v>
      </c>
      <c r="H39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60928</v>
      </c>
      <c r="I39" s="5">
        <v>300</v>
      </c>
      <c r="J39" s="5" t="b">
        <v>0</v>
      </c>
      <c r="K39" s="5" t="s">
        <v>19</v>
      </c>
      <c r="L39" s="10">
        <f>MIN(Table1[[#This Row],[Features]],Table1[[#This Row],[components]])</f>
        <v>300</v>
      </c>
      <c r="M39" s="80" t="b">
        <v>0</v>
      </c>
      <c r="N39" s="44">
        <v>20</v>
      </c>
      <c r="O39" s="44" t="b">
        <v>1</v>
      </c>
      <c r="P39" s="80">
        <v>150</v>
      </c>
      <c r="Q39" s="10" t="s">
        <v>52</v>
      </c>
      <c r="R39" s="10" t="s">
        <v>52</v>
      </c>
      <c r="S39" s="7" t="s">
        <v>17</v>
      </c>
      <c r="T39" s="28">
        <v>0.48593750000000002</v>
      </c>
      <c r="U39" s="28">
        <v>0.48046909874344401</v>
      </c>
      <c r="V39" s="28">
        <v>0.20103044600524</v>
      </c>
      <c r="W39" s="32"/>
      <c r="X39" s="32"/>
      <c r="Y39" s="32"/>
    </row>
    <row r="40" spans="1:25" x14ac:dyDescent="0.3">
      <c r="A40" s="12">
        <v>10</v>
      </c>
      <c r="B40" s="12" t="s">
        <v>16</v>
      </c>
      <c r="C40" s="13">
        <f>MIN(Table1[[#This Row],[per_person]],64)*Table1[[#This Row],[truncate_num]]</f>
        <v>640</v>
      </c>
      <c r="D40" s="11">
        <v>12</v>
      </c>
      <c r="E40" s="11">
        <v>12</v>
      </c>
      <c r="F40" s="60" t="s">
        <v>35</v>
      </c>
      <c r="G40" s="70" t="s">
        <v>43</v>
      </c>
      <c r="H40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60928</v>
      </c>
      <c r="I40" s="14">
        <v>300</v>
      </c>
      <c r="J40" s="14" t="b">
        <v>0</v>
      </c>
      <c r="K40" s="14" t="s">
        <v>19</v>
      </c>
      <c r="L40" s="39">
        <f>MIN(Table1[[#This Row],[Features]],Table1[[#This Row],[components]])</f>
        <v>300</v>
      </c>
      <c r="M40" s="77" t="b">
        <v>0</v>
      </c>
      <c r="N40" s="45">
        <v>20</v>
      </c>
      <c r="O40" s="45" t="b">
        <v>1</v>
      </c>
      <c r="P40" s="77">
        <v>150</v>
      </c>
      <c r="Q40" s="13" t="s">
        <v>52</v>
      </c>
      <c r="R40" s="13" t="s">
        <v>52</v>
      </c>
      <c r="S40" s="13" t="s">
        <v>17</v>
      </c>
      <c r="T40" s="28">
        <v>0.59218749999999998</v>
      </c>
      <c r="U40" s="28">
        <v>0.60509542486961099</v>
      </c>
      <c r="V40" s="28">
        <v>0.2301313659725</v>
      </c>
      <c r="W40" s="32"/>
      <c r="X40" s="32"/>
      <c r="Y40" s="32"/>
    </row>
    <row r="41" spans="1:25" x14ac:dyDescent="0.3">
      <c r="A41" s="6">
        <v>10</v>
      </c>
      <c r="B41" s="6" t="s">
        <v>16</v>
      </c>
      <c r="C41" s="7">
        <f>MIN(Table1[[#This Row],[per_person]],64)*Table1[[#This Row],[truncate_num]]</f>
        <v>640</v>
      </c>
      <c r="D41" s="8">
        <v>12</v>
      </c>
      <c r="E41" s="8">
        <v>12</v>
      </c>
      <c r="F41" s="59" t="s">
        <v>35</v>
      </c>
      <c r="G41" s="69" t="s">
        <v>44</v>
      </c>
      <c r="H41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60928</v>
      </c>
      <c r="I41" s="5">
        <v>300</v>
      </c>
      <c r="J41" s="5" t="b">
        <v>0</v>
      </c>
      <c r="K41" s="5" t="s">
        <v>19</v>
      </c>
      <c r="L41" s="10">
        <f>MIN(Table1[[#This Row],[Features]],Table1[[#This Row],[components]])</f>
        <v>300</v>
      </c>
      <c r="M41" s="80" t="b">
        <v>0</v>
      </c>
      <c r="N41" s="44">
        <v>20</v>
      </c>
      <c r="O41" s="44" t="b">
        <v>1</v>
      </c>
      <c r="P41" s="80">
        <v>150</v>
      </c>
      <c r="Q41" s="10" t="s">
        <v>52</v>
      </c>
      <c r="R41" s="10" t="s">
        <v>52</v>
      </c>
      <c r="S41" s="7" t="s">
        <v>17</v>
      </c>
      <c r="T41" s="28">
        <v>0.59375</v>
      </c>
      <c r="U41" s="28">
        <v>0.60159136680694503</v>
      </c>
      <c r="V41" s="28">
        <v>0.22316025758629199</v>
      </c>
      <c r="W41" s="32"/>
      <c r="X41" s="32"/>
      <c r="Y41" s="32"/>
    </row>
    <row r="42" spans="1:25" ht="15" thickBot="1" x14ac:dyDescent="0.35">
      <c r="A42" s="12">
        <v>10</v>
      </c>
      <c r="B42" s="12" t="s">
        <v>16</v>
      </c>
      <c r="C42" s="13">
        <f>MIN(Table1[[#This Row],[per_person]],64)*Table1[[#This Row],[truncate_num]]</f>
        <v>640</v>
      </c>
      <c r="D42" s="11">
        <v>12</v>
      </c>
      <c r="E42" s="11">
        <v>12</v>
      </c>
      <c r="F42" s="71" t="s">
        <v>35</v>
      </c>
      <c r="G42" s="72" t="s">
        <v>45</v>
      </c>
      <c r="H42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60928</v>
      </c>
      <c r="I42" s="14">
        <v>300</v>
      </c>
      <c r="J42" s="14" t="b">
        <v>0</v>
      </c>
      <c r="K42" s="14" t="s">
        <v>19</v>
      </c>
      <c r="L42" s="39">
        <f>MIN(Table1[[#This Row],[Features]],Table1[[#This Row],[components]])</f>
        <v>300</v>
      </c>
      <c r="M42" s="77" t="b">
        <v>0</v>
      </c>
      <c r="N42" s="45">
        <v>20</v>
      </c>
      <c r="O42" s="45" t="b">
        <v>1</v>
      </c>
      <c r="P42" s="77">
        <v>150</v>
      </c>
      <c r="Q42" s="13" t="s">
        <v>52</v>
      </c>
      <c r="R42" s="13" t="s">
        <v>52</v>
      </c>
      <c r="S42" s="13" t="s">
        <v>17</v>
      </c>
      <c r="T42" s="28">
        <v>0.58281249999999996</v>
      </c>
      <c r="U42" s="28">
        <v>0.59812484310851199</v>
      </c>
      <c r="V42" s="28">
        <v>0.214061427863839</v>
      </c>
      <c r="W42" s="32"/>
      <c r="X42" s="32"/>
      <c r="Y42" s="32"/>
    </row>
    <row r="43" spans="1:25" x14ac:dyDescent="0.3">
      <c r="A43" s="6">
        <v>10</v>
      </c>
      <c r="B43" s="6" t="s">
        <v>16</v>
      </c>
      <c r="C43" s="7">
        <f>MIN(Table1[[#This Row],[per_person]],64)*Table1[[#This Row],[truncate_num]]</f>
        <v>640</v>
      </c>
      <c r="D43" s="8">
        <v>12</v>
      </c>
      <c r="E43" s="8">
        <v>12</v>
      </c>
      <c r="F43" s="8" t="s">
        <v>34</v>
      </c>
      <c r="G43" s="42" t="s">
        <v>38</v>
      </c>
      <c r="H43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43" s="5">
        <v>300</v>
      </c>
      <c r="J43" s="5" t="b">
        <v>0</v>
      </c>
      <c r="K43" s="5" t="s">
        <v>19</v>
      </c>
      <c r="L43" s="10">
        <f>MIN(Table1[[#This Row],[Features]],Table1[[#This Row],[components]])</f>
        <v>300</v>
      </c>
      <c r="M43" s="73" t="b">
        <v>1</v>
      </c>
      <c r="N43" s="74">
        <v>20</v>
      </c>
      <c r="O43" s="74" t="b">
        <v>1</v>
      </c>
      <c r="P43" s="75">
        <v>150</v>
      </c>
      <c r="Q43" s="10">
        <v>5.9999999999999995E-4</v>
      </c>
      <c r="R43" s="10">
        <v>1E-3</v>
      </c>
      <c r="S43" s="10">
        <v>1E-4</v>
      </c>
      <c r="T43" s="28">
        <v>0.58750000000000002</v>
      </c>
      <c r="U43" s="28">
        <v>0.59613189246005605</v>
      </c>
      <c r="V43" s="28">
        <v>0.210200272956169</v>
      </c>
      <c r="W43" s="28"/>
      <c r="X43" s="28"/>
      <c r="Y43" s="28"/>
    </row>
    <row r="44" spans="1:25" x14ac:dyDescent="0.3">
      <c r="A44" s="12">
        <v>10</v>
      </c>
      <c r="B44" s="12" t="s">
        <v>16</v>
      </c>
      <c r="C44" s="13">
        <f>MIN(Table1[[#This Row],[per_person]],64)*Table1[[#This Row],[truncate_num]]</f>
        <v>640</v>
      </c>
      <c r="D44" s="11">
        <v>12</v>
      </c>
      <c r="E44" s="11">
        <v>12</v>
      </c>
      <c r="F44" s="11" t="s">
        <v>34</v>
      </c>
      <c r="G44" s="41" t="s">
        <v>38</v>
      </c>
      <c r="H44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44" s="14">
        <v>300</v>
      </c>
      <c r="J44" s="14" t="b">
        <v>0</v>
      </c>
      <c r="K44" s="14" t="s">
        <v>19</v>
      </c>
      <c r="L44" s="39">
        <f>MIN(Table1[[#This Row],[Features]],Table1[[#This Row],[components]])</f>
        <v>300</v>
      </c>
      <c r="M44" s="76" t="b">
        <v>1</v>
      </c>
      <c r="N44" s="77">
        <v>20</v>
      </c>
      <c r="O44" s="77" t="b">
        <v>0</v>
      </c>
      <c r="P44" s="78">
        <v>150</v>
      </c>
      <c r="Q44" s="39">
        <v>2.0000000000000001E-4</v>
      </c>
      <c r="R44" s="39">
        <v>0.94850000000000001</v>
      </c>
      <c r="S44" s="39">
        <v>1E-4</v>
      </c>
      <c r="T44" s="28">
        <v>0.62968749999999996</v>
      </c>
      <c r="U44" s="28">
        <v>0.64796169756007804</v>
      </c>
      <c r="V44" s="28">
        <v>0.30674675217877501</v>
      </c>
      <c r="W44" s="28"/>
      <c r="X44" s="28"/>
      <c r="Y44" s="28"/>
    </row>
    <row r="45" spans="1:25" x14ac:dyDescent="0.3">
      <c r="A45" s="6">
        <v>10</v>
      </c>
      <c r="B45" s="6" t="s">
        <v>16</v>
      </c>
      <c r="C45" s="7">
        <f>MIN(Table1[[#This Row],[per_person]],64)*Table1[[#This Row],[truncate_num]]</f>
        <v>640</v>
      </c>
      <c r="D45" s="8">
        <v>12</v>
      </c>
      <c r="E45" s="8">
        <v>12</v>
      </c>
      <c r="F45" s="8" t="s">
        <v>34</v>
      </c>
      <c r="G45" s="42" t="s">
        <v>38</v>
      </c>
      <c r="H45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45" s="5">
        <v>300</v>
      </c>
      <c r="J45" s="5" t="b">
        <v>0</v>
      </c>
      <c r="K45" s="5" t="s">
        <v>19</v>
      </c>
      <c r="L45" s="10">
        <f>MIN(Table1[[#This Row],[Features]],Table1[[#This Row],[components]])</f>
        <v>300</v>
      </c>
      <c r="M45" s="79" t="b">
        <v>0</v>
      </c>
      <c r="N45" s="80">
        <v>20</v>
      </c>
      <c r="O45" s="80" t="b">
        <v>0</v>
      </c>
      <c r="P45" s="81">
        <v>150</v>
      </c>
      <c r="Q45" s="10">
        <v>1E-4</v>
      </c>
      <c r="R45" s="10">
        <v>0.96909999999999996</v>
      </c>
      <c r="S45" s="10" t="s">
        <v>17</v>
      </c>
      <c r="T45" s="28">
        <v>0.6875</v>
      </c>
      <c r="U45" s="28">
        <v>0.72141934136479502</v>
      </c>
      <c r="V45" s="28">
        <v>0.427319342829654</v>
      </c>
      <c r="W45" s="28"/>
      <c r="X45" s="28"/>
      <c r="Y45" s="28"/>
    </row>
    <row r="46" spans="1:25" x14ac:dyDescent="0.3">
      <c r="A46" s="12">
        <v>10</v>
      </c>
      <c r="B46" s="12" t="s">
        <v>16</v>
      </c>
      <c r="C46" s="13">
        <f>MIN(Table1[[#This Row],[per_person]],64)*Table1[[#This Row],[truncate_num]]</f>
        <v>640</v>
      </c>
      <c r="D46" s="11">
        <v>12</v>
      </c>
      <c r="E46" s="11">
        <v>12</v>
      </c>
      <c r="F46" s="11" t="s">
        <v>34</v>
      </c>
      <c r="G46" s="41" t="s">
        <v>38</v>
      </c>
      <c r="H46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46" s="14">
        <v>300</v>
      </c>
      <c r="J46" s="14" t="b">
        <v>0</v>
      </c>
      <c r="K46" s="14" t="s">
        <v>19</v>
      </c>
      <c r="L46" s="39">
        <f>MIN(Table1[[#This Row],[Features]],Table1[[#This Row],[components]])</f>
        <v>300</v>
      </c>
      <c r="M46" s="76" t="b">
        <v>0</v>
      </c>
      <c r="N46" s="77">
        <v>20</v>
      </c>
      <c r="O46" s="77" t="b">
        <v>1</v>
      </c>
      <c r="P46" s="78">
        <v>150</v>
      </c>
      <c r="Q46" s="39">
        <v>5.9999999999999995E-4</v>
      </c>
      <c r="R46" s="39">
        <v>1E-3</v>
      </c>
      <c r="S46" s="39" t="s">
        <v>17</v>
      </c>
      <c r="T46" s="28">
        <v>0.58437499999999998</v>
      </c>
      <c r="U46" s="28">
        <v>0.59453700932750997</v>
      </c>
      <c r="V46" s="28">
        <v>0.208776679468614</v>
      </c>
      <c r="W46" s="28"/>
      <c r="X46" s="28"/>
      <c r="Y46" s="28"/>
    </row>
    <row r="47" spans="1:25" x14ac:dyDescent="0.3">
      <c r="A47" s="6">
        <v>10</v>
      </c>
      <c r="B47" s="6" t="s">
        <v>16</v>
      </c>
      <c r="C47" s="7">
        <f>MIN(Table1[[#This Row],[per_person]],64)*Table1[[#This Row],[truncate_num]]</f>
        <v>640</v>
      </c>
      <c r="D47" s="8">
        <v>12</v>
      </c>
      <c r="E47" s="8">
        <v>12</v>
      </c>
      <c r="F47" s="8" t="s">
        <v>34</v>
      </c>
      <c r="G47" s="42" t="s">
        <v>38</v>
      </c>
      <c r="H47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47" s="47">
        <v>300</v>
      </c>
      <c r="J47" s="47" t="b">
        <v>0</v>
      </c>
      <c r="K47" s="47" t="s">
        <v>19</v>
      </c>
      <c r="L47" s="10">
        <f>MIN(Table1[[#This Row],[Features]],Table1[[#This Row],[components]])</f>
        <v>300</v>
      </c>
      <c r="M47" s="79" t="b">
        <v>0</v>
      </c>
      <c r="N47" s="80">
        <v>10</v>
      </c>
      <c r="O47" s="80" t="b">
        <v>0</v>
      </c>
      <c r="P47" s="81">
        <v>150</v>
      </c>
      <c r="Q47" s="10">
        <v>2.0000000000000001E-4</v>
      </c>
      <c r="R47" s="10">
        <v>0.98070000000000002</v>
      </c>
      <c r="S47" s="10" t="s">
        <v>17</v>
      </c>
      <c r="T47" s="28">
        <v>1</v>
      </c>
      <c r="U47" s="28">
        <v>1</v>
      </c>
      <c r="V47" s="28">
        <v>1</v>
      </c>
      <c r="W47" s="32"/>
      <c r="X47" s="32"/>
      <c r="Y47" s="32"/>
    </row>
    <row r="48" spans="1:25" x14ac:dyDescent="0.3">
      <c r="A48" s="12">
        <v>10</v>
      </c>
      <c r="B48" s="12" t="s">
        <v>16</v>
      </c>
      <c r="C48" s="13">
        <f>MIN(Table1[[#This Row],[per_person]],64)*Table1[[#This Row],[truncate_num]]</f>
        <v>640</v>
      </c>
      <c r="D48" s="11">
        <v>12</v>
      </c>
      <c r="E48" s="11">
        <v>12</v>
      </c>
      <c r="F48" s="11" t="s">
        <v>34</v>
      </c>
      <c r="G48" s="41" t="s">
        <v>38</v>
      </c>
      <c r="H48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48" s="46">
        <v>300</v>
      </c>
      <c r="J48" s="14" t="b">
        <v>0</v>
      </c>
      <c r="K48" s="46" t="s">
        <v>19</v>
      </c>
      <c r="L48" s="39">
        <f>MIN(Table1[[#This Row],[Features]],Table1[[#This Row],[components]])</f>
        <v>300</v>
      </c>
      <c r="M48" s="76" t="b">
        <v>0</v>
      </c>
      <c r="N48" s="77">
        <v>5</v>
      </c>
      <c r="O48" s="77" t="b">
        <v>0</v>
      </c>
      <c r="P48" s="78">
        <v>150</v>
      </c>
      <c r="Q48" s="39">
        <v>2.9999999999999997E-4</v>
      </c>
      <c r="R48" s="39">
        <v>0.996</v>
      </c>
      <c r="S48" s="39" t="s">
        <v>17</v>
      </c>
      <c r="T48" s="28">
        <v>0.99843749999999998</v>
      </c>
      <c r="U48" s="28">
        <v>0.99649926773070296</v>
      </c>
      <c r="V48" s="28">
        <v>0.99650576604791896</v>
      </c>
      <c r="W48" s="32"/>
      <c r="X48" s="32"/>
      <c r="Y48" s="32"/>
    </row>
    <row r="49" spans="1:25" x14ac:dyDescent="0.3">
      <c r="A49" s="6">
        <v>10</v>
      </c>
      <c r="B49" s="6" t="s">
        <v>16</v>
      </c>
      <c r="C49" s="7">
        <f>MIN(Table1[[#This Row],[per_person]],64)*Table1[[#This Row],[truncate_num]]</f>
        <v>640</v>
      </c>
      <c r="D49" s="8">
        <v>12</v>
      </c>
      <c r="E49" s="8">
        <v>12</v>
      </c>
      <c r="F49" s="8" t="s">
        <v>34</v>
      </c>
      <c r="G49" s="42" t="s">
        <v>38</v>
      </c>
      <c r="H49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49" s="5">
        <v>300</v>
      </c>
      <c r="J49" s="5" t="b">
        <v>0</v>
      </c>
      <c r="K49" s="5" t="s">
        <v>19</v>
      </c>
      <c r="L49" s="10">
        <f>MIN(Table1[[#This Row],[Features]],Table1[[#This Row],[components]])</f>
        <v>300</v>
      </c>
      <c r="M49" s="79" t="b">
        <v>0</v>
      </c>
      <c r="N49" s="80">
        <v>30</v>
      </c>
      <c r="O49" s="80" t="b">
        <v>0</v>
      </c>
      <c r="P49" s="81">
        <v>150</v>
      </c>
      <c r="Q49" s="10">
        <v>1E-4</v>
      </c>
      <c r="R49" s="10">
        <v>0.96389999999999998</v>
      </c>
      <c r="S49" s="10" t="s">
        <v>17</v>
      </c>
      <c r="T49" s="28">
        <v>0.61250000000000004</v>
      </c>
      <c r="U49" s="28">
        <v>0.62549026147948805</v>
      </c>
      <c r="V49" s="28">
        <v>0.258758392159747</v>
      </c>
      <c r="W49" s="28"/>
      <c r="X49" s="28"/>
      <c r="Y49" s="28"/>
    </row>
    <row r="50" spans="1:25" x14ac:dyDescent="0.3">
      <c r="A50" s="12">
        <v>10</v>
      </c>
      <c r="B50" s="12" t="s">
        <v>16</v>
      </c>
      <c r="C50" s="13">
        <f>MIN(Table1[[#This Row],[per_person]],64)*Table1[[#This Row],[truncate_num]]</f>
        <v>640</v>
      </c>
      <c r="D50" s="11">
        <v>12</v>
      </c>
      <c r="E50" s="11">
        <v>12</v>
      </c>
      <c r="F50" s="11" t="s">
        <v>34</v>
      </c>
      <c r="G50" s="41" t="s">
        <v>38</v>
      </c>
      <c r="H50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50" s="14">
        <v>300</v>
      </c>
      <c r="J50" s="14" t="b">
        <v>0</v>
      </c>
      <c r="K50" s="14" t="s">
        <v>19</v>
      </c>
      <c r="L50" s="39">
        <f>MIN(Table1[[#This Row],[Features]],Table1[[#This Row],[components]])</f>
        <v>300</v>
      </c>
      <c r="M50" s="76" t="b">
        <v>0</v>
      </c>
      <c r="N50" s="77">
        <v>100</v>
      </c>
      <c r="O50" s="77" t="b">
        <v>0</v>
      </c>
      <c r="P50" s="78">
        <v>150</v>
      </c>
      <c r="Q50" s="39">
        <v>2.9999999999999997E-4</v>
      </c>
      <c r="R50" s="39">
        <v>0.94899999999999995</v>
      </c>
      <c r="S50" s="39" t="s">
        <v>17</v>
      </c>
      <c r="T50" s="28">
        <v>0.53437500000000004</v>
      </c>
      <c r="U50" s="28">
        <v>0.52449950434741799</v>
      </c>
      <c r="V50" s="28">
        <v>0.110519875703412</v>
      </c>
      <c r="W50" s="28"/>
      <c r="X50" s="28"/>
      <c r="Y50" s="28"/>
    </row>
    <row r="51" spans="1:25" x14ac:dyDescent="0.3">
      <c r="A51" s="6">
        <v>10</v>
      </c>
      <c r="B51" s="6" t="s">
        <v>16</v>
      </c>
      <c r="C51" s="7">
        <f>MIN(Table1[[#This Row],[per_person]],64)*Table1[[#This Row],[truncate_num]]</f>
        <v>640</v>
      </c>
      <c r="D51" s="8">
        <v>12</v>
      </c>
      <c r="E51" s="8">
        <v>12</v>
      </c>
      <c r="F51" s="8" t="s">
        <v>34</v>
      </c>
      <c r="G51" s="42" t="s">
        <v>38</v>
      </c>
      <c r="H51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51" s="5">
        <v>300</v>
      </c>
      <c r="J51" s="5" t="b">
        <v>0</v>
      </c>
      <c r="K51" s="5" t="s">
        <v>19</v>
      </c>
      <c r="L51" s="10">
        <f>MIN(Table1[[#This Row],[Features]],Table1[[#This Row],[components]])</f>
        <v>300</v>
      </c>
      <c r="M51" s="79" t="b">
        <v>0</v>
      </c>
      <c r="N51" s="80">
        <v>20</v>
      </c>
      <c r="O51" s="80" t="b">
        <v>0</v>
      </c>
      <c r="P51" s="81">
        <v>10</v>
      </c>
      <c r="Q51" s="10">
        <v>3.0099999999999998E-2</v>
      </c>
      <c r="R51" s="10">
        <v>0.96509999999999996</v>
      </c>
      <c r="S51" s="10" t="s">
        <v>17</v>
      </c>
      <c r="T51" s="28">
        <v>0.671875</v>
      </c>
      <c r="U51" s="28">
        <v>0.697041735160982</v>
      </c>
      <c r="V51" s="28">
        <v>0.38934790148828702</v>
      </c>
      <c r="W51" s="28"/>
      <c r="X51" s="28"/>
      <c r="Y51" s="28"/>
    </row>
    <row r="52" spans="1:25" x14ac:dyDescent="0.3">
      <c r="A52" s="12">
        <v>10</v>
      </c>
      <c r="B52" s="12" t="s">
        <v>16</v>
      </c>
      <c r="C52" s="13">
        <f>MIN(Table1[[#This Row],[per_person]],64)*Table1[[#This Row],[truncate_num]]</f>
        <v>640</v>
      </c>
      <c r="D52" s="11">
        <v>12</v>
      </c>
      <c r="E52" s="11">
        <v>12</v>
      </c>
      <c r="F52" s="11" t="s">
        <v>34</v>
      </c>
      <c r="G52" s="41" t="s">
        <v>38</v>
      </c>
      <c r="H52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52" s="14">
        <v>300</v>
      </c>
      <c r="J52" s="14" t="b">
        <v>0</v>
      </c>
      <c r="K52" s="14" t="s">
        <v>19</v>
      </c>
      <c r="L52" s="39">
        <f>MIN(Table1[[#This Row],[Features]],Table1[[#This Row],[components]])</f>
        <v>300</v>
      </c>
      <c r="M52" s="76" t="b">
        <v>0</v>
      </c>
      <c r="N52" s="77">
        <v>20</v>
      </c>
      <c r="O52" s="77" t="b">
        <v>0</v>
      </c>
      <c r="P52" s="78">
        <v>50</v>
      </c>
      <c r="Q52" s="39">
        <v>8.8099999999999995E-4</v>
      </c>
      <c r="R52" s="39">
        <v>0.96879999999999999</v>
      </c>
      <c r="S52" s="39" t="s">
        <v>17</v>
      </c>
      <c r="T52" s="28">
        <v>0.70781249999999996</v>
      </c>
      <c r="U52" s="28">
        <v>0.74721827664555196</v>
      </c>
      <c r="V52" s="28">
        <v>0.49070569887236098</v>
      </c>
      <c r="W52" s="28"/>
      <c r="X52" s="28"/>
      <c r="Y52" s="28"/>
    </row>
    <row r="53" spans="1:25" x14ac:dyDescent="0.3">
      <c r="A53" s="6">
        <v>10</v>
      </c>
      <c r="B53" s="6" t="s">
        <v>16</v>
      </c>
      <c r="C53" s="7">
        <f>MIN(Table1[[#This Row],[per_person]],64)*Table1[[#This Row],[truncate_num]]</f>
        <v>640</v>
      </c>
      <c r="D53" s="8">
        <v>12</v>
      </c>
      <c r="E53" s="8">
        <v>12</v>
      </c>
      <c r="F53" s="8" t="s">
        <v>34</v>
      </c>
      <c r="G53" s="42" t="s">
        <v>38</v>
      </c>
      <c r="H53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53" s="5">
        <v>300</v>
      </c>
      <c r="J53" s="5" t="b">
        <v>0</v>
      </c>
      <c r="K53" s="5" t="s">
        <v>19</v>
      </c>
      <c r="L53" s="10">
        <f>MIN(Table1[[#This Row],[Features]],Table1[[#This Row],[components]])</f>
        <v>300</v>
      </c>
      <c r="M53" s="79" t="b">
        <v>0</v>
      </c>
      <c r="N53" s="80">
        <v>20</v>
      </c>
      <c r="O53" s="80" t="b">
        <v>0</v>
      </c>
      <c r="P53" s="81">
        <v>100</v>
      </c>
      <c r="Q53" s="10">
        <v>1.7899999999999999E-4</v>
      </c>
      <c r="R53" s="10">
        <v>0.96909999999999996</v>
      </c>
      <c r="S53" s="10" t="s">
        <v>17</v>
      </c>
      <c r="T53" s="28">
        <v>0.68906250000000002</v>
      </c>
      <c r="U53" s="28">
        <v>0.724850011642166</v>
      </c>
      <c r="V53" s="28">
        <v>0.43561659210953102</v>
      </c>
      <c r="W53" s="28"/>
      <c r="X53" s="28"/>
      <c r="Y53" s="28"/>
    </row>
    <row r="54" spans="1:25" x14ac:dyDescent="0.3">
      <c r="A54" s="12">
        <v>10</v>
      </c>
      <c r="B54" s="12" t="s">
        <v>16</v>
      </c>
      <c r="C54" s="13">
        <f>MIN(Table1[[#This Row],[per_person]],64)*Table1[[#This Row],[truncate_num]]</f>
        <v>640</v>
      </c>
      <c r="D54" s="11">
        <v>12</v>
      </c>
      <c r="E54" s="11">
        <v>12</v>
      </c>
      <c r="F54" s="11" t="s">
        <v>34</v>
      </c>
      <c r="G54" s="41" t="s">
        <v>38</v>
      </c>
      <c r="H54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54" s="14">
        <v>300</v>
      </c>
      <c r="J54" s="14" t="b">
        <v>0</v>
      </c>
      <c r="K54" s="14" t="s">
        <v>19</v>
      </c>
      <c r="L54" s="39">
        <f>MIN(Table1[[#This Row],[Features]],Table1[[#This Row],[components]])</f>
        <v>300</v>
      </c>
      <c r="M54" s="76" t="b">
        <v>0</v>
      </c>
      <c r="N54" s="77">
        <v>20</v>
      </c>
      <c r="O54" s="77" t="b">
        <v>0</v>
      </c>
      <c r="P54" s="78">
        <v>250</v>
      </c>
      <c r="Q54" s="39">
        <v>3.6999999999999998E-5</v>
      </c>
      <c r="R54" s="39">
        <v>0.96909999999999996</v>
      </c>
      <c r="S54" s="39" t="s">
        <v>17</v>
      </c>
      <c r="T54" s="28">
        <v>0.69374999999999998</v>
      </c>
      <c r="U54" s="28">
        <v>0.72360288176691301</v>
      </c>
      <c r="V54" s="28">
        <v>0.43259399087619899</v>
      </c>
      <c r="W54" s="28"/>
      <c r="X54" s="28"/>
      <c r="Y54" s="28"/>
    </row>
    <row r="55" spans="1:25" x14ac:dyDescent="0.3">
      <c r="A55" s="6">
        <v>10</v>
      </c>
      <c r="B55" s="6" t="s">
        <v>16</v>
      </c>
      <c r="C55" s="7">
        <f>MIN(Table1[[#This Row],[per_person]],64)*Table1[[#This Row],[truncate_num]]</f>
        <v>640</v>
      </c>
      <c r="D55" s="8">
        <v>12</v>
      </c>
      <c r="E55" s="8">
        <v>12</v>
      </c>
      <c r="F55" s="8" t="s">
        <v>34</v>
      </c>
      <c r="G55" s="42" t="s">
        <v>38</v>
      </c>
      <c r="H55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55" s="5">
        <v>300</v>
      </c>
      <c r="J55" s="5" t="b">
        <v>0</v>
      </c>
      <c r="K55" s="5" t="s">
        <v>19</v>
      </c>
      <c r="L55" s="10">
        <f>MIN(Table1[[#This Row],[Features]],Table1[[#This Row],[components]])</f>
        <v>300</v>
      </c>
      <c r="M55" s="79" t="b">
        <v>0</v>
      </c>
      <c r="N55" s="80">
        <v>20</v>
      </c>
      <c r="O55" s="80" t="b">
        <v>0</v>
      </c>
      <c r="P55" s="81">
        <v>1000</v>
      </c>
      <c r="Q55" s="10">
        <v>7.7999999999999997E-8</v>
      </c>
      <c r="R55" s="10">
        <v>0.96909999999999996</v>
      </c>
      <c r="S55" s="10" t="s">
        <v>17</v>
      </c>
      <c r="T55" s="28">
        <v>0.69374999999999998</v>
      </c>
      <c r="U55" s="28">
        <v>0.72369577099824001</v>
      </c>
      <c r="V55" s="28">
        <v>0.43301248251490898</v>
      </c>
      <c r="W55" s="28"/>
      <c r="X55" s="28"/>
      <c r="Y55" s="28"/>
    </row>
    <row r="56" spans="1:25" x14ac:dyDescent="0.3">
      <c r="A56" s="12">
        <v>10</v>
      </c>
      <c r="B56" s="12" t="s">
        <v>16</v>
      </c>
      <c r="C56" s="13">
        <f>MIN(Table1[[#This Row],[per_person]],64)*Table1[[#This Row],[truncate_num]]</f>
        <v>640</v>
      </c>
      <c r="D56" s="11">
        <v>12</v>
      </c>
      <c r="E56" s="11">
        <v>12</v>
      </c>
      <c r="F56" s="11" t="s">
        <v>34</v>
      </c>
      <c r="G56" s="41" t="s">
        <v>38</v>
      </c>
      <c r="H56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56" s="14">
        <v>300</v>
      </c>
      <c r="J56" s="14" t="b">
        <v>0</v>
      </c>
      <c r="K56" s="14" t="s">
        <v>19</v>
      </c>
      <c r="L56" s="39">
        <f>MIN(Table1[[#This Row],[Features]],Table1[[#This Row],[components]])</f>
        <v>300</v>
      </c>
      <c r="M56" s="76" t="b">
        <v>0</v>
      </c>
      <c r="N56" s="77">
        <v>20</v>
      </c>
      <c r="O56" s="77" t="b">
        <v>0</v>
      </c>
      <c r="P56" s="78">
        <v>2000</v>
      </c>
      <c r="Q56" s="39">
        <v>4.3282898100000001E-11</v>
      </c>
      <c r="R56" s="39">
        <v>0.96909999999999996</v>
      </c>
      <c r="S56" s="39" t="s">
        <v>17</v>
      </c>
      <c r="T56" s="28">
        <v>0.69374999999999998</v>
      </c>
      <c r="U56" s="28">
        <v>0.72369577099824001</v>
      </c>
      <c r="V56" s="28">
        <v>0.43301248251490898</v>
      </c>
      <c r="W56" s="28"/>
      <c r="X56" s="28"/>
      <c r="Y56" s="28"/>
    </row>
    <row r="57" spans="1:25" x14ac:dyDescent="0.3">
      <c r="A57" s="6">
        <v>10</v>
      </c>
      <c r="B57" s="6" t="s">
        <v>16</v>
      </c>
      <c r="C57" s="7">
        <f>MIN(Table1[[#This Row],[per_person]],64)*Table1[[#This Row],[truncate_num]]</f>
        <v>640</v>
      </c>
      <c r="D57" s="8">
        <v>12</v>
      </c>
      <c r="E57" s="8">
        <v>12</v>
      </c>
      <c r="F57" s="8" t="s">
        <v>34</v>
      </c>
      <c r="G57" s="42" t="s">
        <v>38</v>
      </c>
      <c r="H57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57" s="5">
        <v>300</v>
      </c>
      <c r="J57" s="5" t="b">
        <v>0</v>
      </c>
      <c r="K57" s="5" t="s">
        <v>19</v>
      </c>
      <c r="L57" s="10">
        <f>MIN(Table1[[#This Row],[Features]],Table1[[#This Row],[components]])</f>
        <v>300</v>
      </c>
      <c r="M57" s="79" t="b">
        <v>0</v>
      </c>
      <c r="N57" s="80">
        <v>20</v>
      </c>
      <c r="O57" s="80" t="b">
        <v>0</v>
      </c>
      <c r="P57" s="81">
        <v>500</v>
      </c>
      <c r="Q57" s="10">
        <v>3.89941546413697E-6</v>
      </c>
      <c r="R57" s="10">
        <v>0.96909999999999996</v>
      </c>
      <c r="S57" s="10" t="s">
        <v>17</v>
      </c>
      <c r="T57" s="28">
        <v>0.69374999999999998</v>
      </c>
      <c r="U57" s="28">
        <v>0.72369577099824001</v>
      </c>
      <c r="V57" s="28">
        <v>0.43301248251490898</v>
      </c>
      <c r="W57" s="28"/>
      <c r="X57" s="28"/>
      <c r="Y57" s="28"/>
    </row>
    <row r="58" spans="1:25" x14ac:dyDescent="0.3">
      <c r="A58" s="12">
        <v>10</v>
      </c>
      <c r="B58" s="12" t="s">
        <v>16</v>
      </c>
      <c r="C58" s="13">
        <f>MIN(Table1[[#This Row],[per_person]],64)*Table1[[#This Row],[truncate_num]]</f>
        <v>640</v>
      </c>
      <c r="D58" s="11">
        <v>12</v>
      </c>
      <c r="E58" s="11">
        <v>12</v>
      </c>
      <c r="F58" s="11" t="s">
        <v>34</v>
      </c>
      <c r="G58" s="41" t="s">
        <v>38</v>
      </c>
      <c r="H58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58" s="14">
        <v>300</v>
      </c>
      <c r="J58" s="14" t="b">
        <v>0</v>
      </c>
      <c r="K58" s="14" t="s">
        <v>19</v>
      </c>
      <c r="L58" s="39">
        <f>MIN(Table1[[#This Row],[Features]],Table1[[#This Row],[components]])</f>
        <v>300</v>
      </c>
      <c r="M58" s="76" t="b">
        <v>0</v>
      </c>
      <c r="N58" s="77">
        <v>20</v>
      </c>
      <c r="O58" s="77" t="b">
        <v>0</v>
      </c>
      <c r="P58" s="78">
        <v>300</v>
      </c>
      <c r="Q58" s="39">
        <v>2.0256348868785101E-5</v>
      </c>
      <c r="R58" s="39">
        <v>0.96909999999999996</v>
      </c>
      <c r="S58" s="39" t="s">
        <v>17</v>
      </c>
      <c r="T58" s="28">
        <v>0.68906250000000002</v>
      </c>
      <c r="U58" s="28">
        <v>0.71989425016539998</v>
      </c>
      <c r="V58" s="28">
        <v>0.42404218433072799</v>
      </c>
      <c r="W58" s="28"/>
      <c r="X58" s="28"/>
      <c r="Y58" s="28"/>
    </row>
    <row r="59" spans="1:25" x14ac:dyDescent="0.3">
      <c r="A59" s="6">
        <v>10</v>
      </c>
      <c r="B59" s="6" t="s">
        <v>16</v>
      </c>
      <c r="C59" s="7">
        <f>MIN(Table1[[#This Row],[per_person]],64)*Table1[[#This Row],[truncate_num]]</f>
        <v>640</v>
      </c>
      <c r="D59" s="8">
        <v>12</v>
      </c>
      <c r="E59" s="8">
        <v>12</v>
      </c>
      <c r="F59" s="8" t="s">
        <v>34</v>
      </c>
      <c r="G59" s="42" t="s">
        <v>38</v>
      </c>
      <c r="H59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59" s="5">
        <v>300</v>
      </c>
      <c r="J59" s="5" t="b">
        <v>0</v>
      </c>
      <c r="K59" s="5" t="s">
        <v>19</v>
      </c>
      <c r="L59" s="10">
        <f>MIN(Table1[[#This Row],[Features]],Table1[[#This Row],[components]])</f>
        <v>300</v>
      </c>
      <c r="M59" s="79" t="b">
        <v>0</v>
      </c>
      <c r="N59" s="80">
        <v>20</v>
      </c>
      <c r="O59" s="80" t="b">
        <v>0</v>
      </c>
      <c r="P59" s="81">
        <v>350</v>
      </c>
      <c r="Q59" s="10">
        <v>1.32861794706988E-5</v>
      </c>
      <c r="R59" s="10">
        <v>0.96909999999999996</v>
      </c>
      <c r="S59" s="10" t="s">
        <v>17</v>
      </c>
      <c r="T59" s="28">
        <v>0.69218749999999996</v>
      </c>
      <c r="U59" s="28">
        <v>0.722796334996607</v>
      </c>
      <c r="V59" s="28">
        <v>0.43062200052189498</v>
      </c>
      <c r="W59" s="28"/>
      <c r="X59" s="28"/>
      <c r="Y59" s="28"/>
    </row>
    <row r="60" spans="1:25" x14ac:dyDescent="0.3">
      <c r="A60" s="12">
        <v>10</v>
      </c>
      <c r="B60" s="12" t="s">
        <v>16</v>
      </c>
      <c r="C60" s="13">
        <f>MIN(Table1[[#This Row],[per_person]],64)*Table1[[#This Row],[truncate_num]]</f>
        <v>640</v>
      </c>
      <c r="D60" s="11">
        <v>12</v>
      </c>
      <c r="E60" s="11">
        <v>12</v>
      </c>
      <c r="F60" s="11" t="s">
        <v>34</v>
      </c>
      <c r="G60" s="41" t="s">
        <v>38</v>
      </c>
      <c r="H60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60" s="14">
        <v>300</v>
      </c>
      <c r="J60" s="14" t="b">
        <v>0</v>
      </c>
      <c r="K60" s="14" t="s">
        <v>19</v>
      </c>
      <c r="L60" s="39">
        <f>MIN(Table1[[#This Row],[Features]],Table1[[#This Row],[components]])</f>
        <v>300</v>
      </c>
      <c r="M60" s="76" t="b">
        <v>0</v>
      </c>
      <c r="N60" s="77">
        <v>20</v>
      </c>
      <c r="O60" s="77" t="b">
        <v>0</v>
      </c>
      <c r="P60" s="78">
        <v>600</v>
      </c>
      <c r="Q60" s="39">
        <v>1.7543044277109799E-6</v>
      </c>
      <c r="R60" s="39">
        <v>0.96909999999999996</v>
      </c>
      <c r="S60" s="39" t="s">
        <v>17</v>
      </c>
      <c r="T60" s="28">
        <v>0.69374999999999998</v>
      </c>
      <c r="U60" s="28">
        <v>0.72369577099824001</v>
      </c>
      <c r="V60" s="28">
        <v>0.43301248251490898</v>
      </c>
      <c r="W60" s="28"/>
      <c r="X60" s="28"/>
      <c r="Y60" s="28"/>
    </row>
    <row r="61" spans="1:25" x14ac:dyDescent="0.3">
      <c r="A61" s="6">
        <v>10</v>
      </c>
      <c r="B61" s="6" t="s">
        <v>16</v>
      </c>
      <c r="C61" s="7">
        <f>MIN(Table1[[#This Row],[per_person]],64)*Table1[[#This Row],[truncate_num]]</f>
        <v>640</v>
      </c>
      <c r="D61" s="8">
        <v>12</v>
      </c>
      <c r="E61" s="8">
        <v>12</v>
      </c>
      <c r="F61" s="8" t="s">
        <v>34</v>
      </c>
      <c r="G61" s="42" t="s">
        <v>38</v>
      </c>
      <c r="H61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61" s="5">
        <v>300</v>
      </c>
      <c r="J61" s="5" t="b">
        <v>0</v>
      </c>
      <c r="K61" s="5" t="s">
        <v>19</v>
      </c>
      <c r="L61" s="10">
        <f>MIN(Table1[[#This Row],[Features]],Table1[[#This Row],[components]])</f>
        <v>300</v>
      </c>
      <c r="M61" s="79" t="b">
        <v>0</v>
      </c>
      <c r="N61" s="80">
        <v>18</v>
      </c>
      <c r="O61" s="80" t="b">
        <v>0</v>
      </c>
      <c r="P61" s="81">
        <v>500</v>
      </c>
      <c r="Q61" s="10">
        <v>4.7581253656274903E-6</v>
      </c>
      <c r="R61" s="10">
        <v>0.97070000000000001</v>
      </c>
      <c r="S61" s="10" t="s">
        <v>17</v>
      </c>
      <c r="T61" s="28">
        <v>0.90781250000000002</v>
      </c>
      <c r="U61" s="28">
        <v>0.91942496870911705</v>
      </c>
      <c r="V61" s="28">
        <v>0.82022981520990002</v>
      </c>
      <c r="W61" s="28"/>
      <c r="X61" s="28"/>
      <c r="Y61" s="28"/>
    </row>
    <row r="62" spans="1:25" x14ac:dyDescent="0.3">
      <c r="A62" s="12">
        <v>10</v>
      </c>
      <c r="B62" s="12" t="s">
        <v>16</v>
      </c>
      <c r="C62" s="13">
        <f>MIN(Table1[[#This Row],[per_person]],64)*Table1[[#This Row],[truncate_num]]</f>
        <v>640</v>
      </c>
      <c r="D62" s="11">
        <v>12</v>
      </c>
      <c r="E62" s="11">
        <v>12</v>
      </c>
      <c r="F62" s="11" t="s">
        <v>34</v>
      </c>
      <c r="G62" s="41" t="s">
        <v>38</v>
      </c>
      <c r="H62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62" s="46">
        <v>300</v>
      </c>
      <c r="J62" s="14" t="b">
        <v>0</v>
      </c>
      <c r="K62" s="46" t="s">
        <v>19</v>
      </c>
      <c r="L62" s="39">
        <f>MIN(Table1[[#This Row],[Features]],Table1[[#This Row],[components]])</f>
        <v>300</v>
      </c>
      <c r="M62" s="76" t="b">
        <v>0</v>
      </c>
      <c r="N62" s="77">
        <v>15</v>
      </c>
      <c r="O62" s="77" t="b">
        <v>0</v>
      </c>
      <c r="P62" s="78">
        <v>500</v>
      </c>
      <c r="Q62" s="39">
        <v>4.9069900518081696E-6</v>
      </c>
      <c r="R62" s="39">
        <v>0.97340000000000004</v>
      </c>
      <c r="S62" s="39" t="s">
        <v>17</v>
      </c>
      <c r="T62" s="28">
        <v>0.99843749999999998</v>
      </c>
      <c r="U62" s="28">
        <v>0.99649926773070296</v>
      </c>
      <c r="V62" s="28">
        <v>0.99650576604791896</v>
      </c>
      <c r="W62" s="32"/>
      <c r="X62" s="32"/>
      <c r="Y62" s="32"/>
    </row>
    <row r="63" spans="1:25" ht="15" thickBot="1" x14ac:dyDescent="0.35">
      <c r="A63" s="6">
        <v>10</v>
      </c>
      <c r="B63" s="6" t="s">
        <v>16</v>
      </c>
      <c r="C63" s="7">
        <f>MIN(Table1[[#This Row],[per_person]],64)*Table1[[#This Row],[truncate_num]]</f>
        <v>640</v>
      </c>
      <c r="D63" s="8">
        <v>12</v>
      </c>
      <c r="E63" s="8">
        <v>12</v>
      </c>
      <c r="F63" s="8" t="s">
        <v>34</v>
      </c>
      <c r="G63" s="42" t="s">
        <v>38</v>
      </c>
      <c r="H63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63" s="5">
        <v>300</v>
      </c>
      <c r="J63" s="5" t="b">
        <v>0</v>
      </c>
      <c r="K63" s="5" t="s">
        <v>19</v>
      </c>
      <c r="L63" s="10">
        <f>MIN(Table1[[#This Row],[Features]],Table1[[#This Row],[components]])</f>
        <v>300</v>
      </c>
      <c r="M63" s="79" t="b">
        <v>0</v>
      </c>
      <c r="N63" s="80">
        <v>19</v>
      </c>
      <c r="O63" s="80" t="b">
        <v>0</v>
      </c>
      <c r="P63" s="81">
        <v>500</v>
      </c>
      <c r="Q63" s="10">
        <v>4.6450843186461996E-6</v>
      </c>
      <c r="R63" s="10">
        <v>0.9698</v>
      </c>
      <c r="S63" s="10" t="s">
        <v>17</v>
      </c>
      <c r="T63" s="82">
        <v>0.70468750000000002</v>
      </c>
      <c r="U63" s="82">
        <v>0.73917637180742102</v>
      </c>
      <c r="V63" s="82">
        <v>0.46795869205797702</v>
      </c>
      <c r="W63" s="82"/>
      <c r="X63" s="82"/>
      <c r="Y63" s="82"/>
    </row>
    <row r="64" spans="1:25" x14ac:dyDescent="0.3">
      <c r="A64" s="38">
        <v>38</v>
      </c>
      <c r="B64" s="12" t="s">
        <v>16</v>
      </c>
      <c r="C64" s="13">
        <f>MIN(Table1[[#This Row],[per_person]],64)*Table1[[#This Row],[truncate_num]]</f>
        <v>2432</v>
      </c>
      <c r="D64" s="11">
        <v>12</v>
      </c>
      <c r="E64" s="11">
        <v>12</v>
      </c>
      <c r="F64" s="11" t="s">
        <v>34</v>
      </c>
      <c r="G64" s="41" t="s">
        <v>38</v>
      </c>
      <c r="H64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64" s="14">
        <v>300</v>
      </c>
      <c r="J64" s="14" t="b">
        <v>0</v>
      </c>
      <c r="K64" s="14" t="s">
        <v>19</v>
      </c>
      <c r="L64" s="39">
        <f>MIN(Table1[[#This Row],[Features]],Table1[[#This Row],[components]])</f>
        <v>300</v>
      </c>
      <c r="M64" s="85" t="b">
        <v>0</v>
      </c>
      <c r="N64" s="86">
        <v>19</v>
      </c>
      <c r="O64" s="86" t="b">
        <v>0</v>
      </c>
      <c r="P64" s="87">
        <v>100</v>
      </c>
      <c r="Q64" s="39">
        <v>3.4015264648289199E-4</v>
      </c>
      <c r="R64" s="39">
        <v>0.56889999999999996</v>
      </c>
      <c r="S64" s="39" t="s">
        <v>17</v>
      </c>
      <c r="T64" s="28">
        <v>0.73617021276595696</v>
      </c>
      <c r="U64" s="28">
        <v>0.845122467156879</v>
      </c>
      <c r="V64" s="28">
        <v>0.45085970543757098</v>
      </c>
      <c r="W64" s="28"/>
      <c r="X64" s="28"/>
      <c r="Y64" s="28"/>
    </row>
    <row r="65" spans="1:27" x14ac:dyDescent="0.3">
      <c r="A65" s="6">
        <v>38</v>
      </c>
      <c r="B65" s="6" t="s">
        <v>16</v>
      </c>
      <c r="C65" s="7">
        <f>MIN(Table1[[#This Row],[per_person]],64)*Table1[[#This Row],[truncate_num]]</f>
        <v>2432</v>
      </c>
      <c r="D65" s="8">
        <v>12</v>
      </c>
      <c r="E65" s="8">
        <v>12</v>
      </c>
      <c r="F65" s="8" t="s">
        <v>34</v>
      </c>
      <c r="G65" s="42" t="s">
        <v>38</v>
      </c>
      <c r="H65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65" s="5">
        <v>300</v>
      </c>
      <c r="J65" s="5" t="b">
        <v>0</v>
      </c>
      <c r="K65" s="5" t="s">
        <v>19</v>
      </c>
      <c r="L65" s="10">
        <f>MIN(Table1[[#This Row],[Features]],Table1[[#This Row],[components]])</f>
        <v>300</v>
      </c>
      <c r="M65" s="79" t="b">
        <v>0</v>
      </c>
      <c r="N65" s="80">
        <v>19</v>
      </c>
      <c r="O65" s="80" t="b">
        <v>0</v>
      </c>
      <c r="P65" s="81">
        <v>500</v>
      </c>
      <c r="Q65" s="10">
        <v>2.1363443442549101E-5</v>
      </c>
      <c r="R65" s="10">
        <v>0.56910000000000005</v>
      </c>
      <c r="S65" s="10" t="s">
        <v>17</v>
      </c>
      <c r="T65" s="28">
        <v>0.802553191489361</v>
      </c>
      <c r="U65" s="28">
        <v>0.86020189780432699</v>
      </c>
      <c r="V65" s="28">
        <v>0.52158456992014701</v>
      </c>
      <c r="W65" s="28"/>
      <c r="X65" s="28"/>
      <c r="Y65" s="28"/>
    </row>
    <row r="66" spans="1:27" x14ac:dyDescent="0.3">
      <c r="A66" s="12">
        <v>38</v>
      </c>
      <c r="B66" s="12" t="s">
        <v>16</v>
      </c>
      <c r="C66" s="13">
        <f>MIN(Table1[[#This Row],[per_person]],64)*Table1[[#This Row],[truncate_num]]</f>
        <v>2432</v>
      </c>
      <c r="D66" s="11">
        <v>12</v>
      </c>
      <c r="E66" s="11">
        <v>12</v>
      </c>
      <c r="F66" s="11" t="s">
        <v>34</v>
      </c>
      <c r="G66" s="41" t="s">
        <v>38</v>
      </c>
      <c r="H66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66" s="14">
        <v>300</v>
      </c>
      <c r="J66" s="14" t="b">
        <v>0</v>
      </c>
      <c r="K66" s="14" t="s">
        <v>19</v>
      </c>
      <c r="L66" s="39">
        <f>MIN(Table1[[#This Row],[Features]],Table1[[#This Row],[components]])</f>
        <v>300</v>
      </c>
      <c r="M66" s="76" t="b">
        <v>0</v>
      </c>
      <c r="N66" s="77">
        <v>18</v>
      </c>
      <c r="O66" s="77" t="b">
        <v>0</v>
      </c>
      <c r="P66" s="78">
        <v>500</v>
      </c>
      <c r="Q66" s="39">
        <v>2.2312140377738099E-5</v>
      </c>
      <c r="R66" s="39">
        <v>0.58320000000000005</v>
      </c>
      <c r="S66" s="39" t="s">
        <v>17</v>
      </c>
      <c r="T66" s="32">
        <v>0.83829787234042497</v>
      </c>
      <c r="U66" s="32">
        <v>0.88732464019134505</v>
      </c>
      <c r="V66" s="32">
        <v>0.63503555439960802</v>
      </c>
      <c r="W66" s="32"/>
      <c r="X66" s="32"/>
      <c r="Y66" s="32"/>
    </row>
    <row r="67" spans="1:27" x14ac:dyDescent="0.3">
      <c r="A67" s="6">
        <v>38</v>
      </c>
      <c r="B67" s="6" t="s">
        <v>16</v>
      </c>
      <c r="C67" s="7">
        <f>MIN(Table1[[#This Row],[per_person]],64)*Table1[[#This Row],[truncate_num]]</f>
        <v>2432</v>
      </c>
      <c r="D67" s="8">
        <v>12</v>
      </c>
      <c r="E67" s="8">
        <v>12</v>
      </c>
      <c r="F67" s="8" t="s">
        <v>34</v>
      </c>
      <c r="G67" s="42" t="s">
        <v>38</v>
      </c>
      <c r="H67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67" s="5">
        <v>300</v>
      </c>
      <c r="J67" s="5" t="b">
        <v>0</v>
      </c>
      <c r="K67" s="5" t="s">
        <v>19</v>
      </c>
      <c r="L67" s="10">
        <f>MIN(Table1[[#This Row],[Features]],Table1[[#This Row],[components]])</f>
        <v>300</v>
      </c>
      <c r="M67" s="79" t="b">
        <v>0</v>
      </c>
      <c r="N67" s="80">
        <v>30</v>
      </c>
      <c r="O67" s="80" t="b">
        <v>0</v>
      </c>
      <c r="P67" s="81">
        <v>10</v>
      </c>
      <c r="Q67" s="10">
        <v>3.0014098091306601E-2</v>
      </c>
      <c r="R67" s="10">
        <v>0.42570000000000002</v>
      </c>
      <c r="S67" s="10" t="s">
        <v>17</v>
      </c>
      <c r="T67" s="32">
        <v>0.72851063829787199</v>
      </c>
      <c r="U67" s="32">
        <v>0.809703824983384</v>
      </c>
      <c r="V67" s="32">
        <v>0.34644111374122699</v>
      </c>
      <c r="W67" s="32"/>
      <c r="X67" s="32"/>
      <c r="Y67" s="32"/>
    </row>
    <row r="68" spans="1:27" x14ac:dyDescent="0.3">
      <c r="A68" s="12">
        <v>38</v>
      </c>
      <c r="B68" s="12" t="s">
        <v>16</v>
      </c>
      <c r="C68" s="13">
        <f>MIN(Table1[[#This Row],[per_person]],64)*Table1[[#This Row],[truncate_num]]</f>
        <v>2432</v>
      </c>
      <c r="D68" s="11">
        <v>12</v>
      </c>
      <c r="E68" s="11">
        <v>12</v>
      </c>
      <c r="F68" s="11" t="s">
        <v>34</v>
      </c>
      <c r="G68" s="41" t="s">
        <v>38</v>
      </c>
      <c r="H68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68" s="14">
        <v>300</v>
      </c>
      <c r="J68" s="14" t="b">
        <v>0</v>
      </c>
      <c r="K68" s="14" t="s">
        <v>19</v>
      </c>
      <c r="L68" s="39">
        <f>MIN(Table1[[#This Row],[Features]],Table1[[#This Row],[components]])</f>
        <v>300</v>
      </c>
      <c r="M68" s="76" t="b">
        <v>0</v>
      </c>
      <c r="N68" s="77">
        <v>25</v>
      </c>
      <c r="O68" s="77" t="b">
        <v>0</v>
      </c>
      <c r="P68" s="78">
        <v>10</v>
      </c>
      <c r="Q68" s="39">
        <v>3.2147086064496899E-2</v>
      </c>
      <c r="R68" s="39">
        <v>0.46850000000000003</v>
      </c>
      <c r="S68" s="39" t="s">
        <v>17</v>
      </c>
      <c r="T68" s="28">
        <v>0.78255319148936098</v>
      </c>
      <c r="U68" s="28">
        <v>0.84975604386238501</v>
      </c>
      <c r="V68" s="28">
        <v>0.50453605343021102</v>
      </c>
      <c r="W68" s="28"/>
      <c r="X68" s="28"/>
      <c r="Y68" s="28"/>
    </row>
    <row r="69" spans="1:27" x14ac:dyDescent="0.3">
      <c r="A69" s="6">
        <v>38</v>
      </c>
      <c r="B69" s="6" t="s">
        <v>16</v>
      </c>
      <c r="C69" s="7">
        <f>MIN(Table1[[#This Row],[per_person]],64)*Table1[[#This Row],[truncate_num]]</f>
        <v>2432</v>
      </c>
      <c r="D69" s="8">
        <v>12</v>
      </c>
      <c r="E69" s="8">
        <v>12</v>
      </c>
      <c r="F69" s="8" t="s">
        <v>34</v>
      </c>
      <c r="G69" s="42" t="s">
        <v>38</v>
      </c>
      <c r="H69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69" s="5">
        <v>300</v>
      </c>
      <c r="J69" s="5" t="b">
        <v>0</v>
      </c>
      <c r="K69" s="5" t="s">
        <v>19</v>
      </c>
      <c r="L69" s="10">
        <f>MIN(Table1[[#This Row],[Features]],Table1[[#This Row],[components]])</f>
        <v>300</v>
      </c>
      <c r="M69" s="79" t="b">
        <v>0</v>
      </c>
      <c r="N69" s="80">
        <v>20</v>
      </c>
      <c r="O69" s="80" t="b">
        <v>0</v>
      </c>
      <c r="P69" s="81">
        <v>10</v>
      </c>
      <c r="Q69" s="10">
        <v>3.5538287405435701E-2</v>
      </c>
      <c r="R69" s="10">
        <v>0.50819999999999999</v>
      </c>
      <c r="S69" s="10" t="s">
        <v>17</v>
      </c>
      <c r="T69" s="28">
        <v>0.90808510638297801</v>
      </c>
      <c r="U69" s="28">
        <v>0.94230093917972002</v>
      </c>
      <c r="V69" s="28">
        <v>0.78106635877269204</v>
      </c>
      <c r="W69" s="28"/>
      <c r="X69" s="28"/>
      <c r="Y69" s="28"/>
    </row>
    <row r="70" spans="1:27" x14ac:dyDescent="0.3">
      <c r="A70" s="12">
        <v>38</v>
      </c>
      <c r="B70" s="12" t="s">
        <v>16</v>
      </c>
      <c r="C70" s="13">
        <f>MIN(Table1[[#This Row],[per_person]],64)*Table1[[#This Row],[truncate_num]]</f>
        <v>2432</v>
      </c>
      <c r="D70" s="11">
        <v>12</v>
      </c>
      <c r="E70" s="11">
        <v>12</v>
      </c>
      <c r="F70" s="11" t="s">
        <v>34</v>
      </c>
      <c r="G70" s="41" t="s">
        <v>38</v>
      </c>
      <c r="H70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70" s="14">
        <v>300</v>
      </c>
      <c r="J70" s="46" t="b">
        <v>0</v>
      </c>
      <c r="K70" s="46" t="s">
        <v>19</v>
      </c>
      <c r="L70" s="39">
        <f>MIN(Table1[[#This Row],[Features]],Table1[[#This Row],[components]])</f>
        <v>300</v>
      </c>
      <c r="M70" s="76" t="b">
        <v>0</v>
      </c>
      <c r="N70" s="77">
        <v>15</v>
      </c>
      <c r="O70" s="77" t="b">
        <v>0</v>
      </c>
      <c r="P70" s="78">
        <v>10</v>
      </c>
      <c r="Q70" s="39">
        <v>3.8873679542638997E-2</v>
      </c>
      <c r="R70" s="39">
        <v>0.54349999999999998</v>
      </c>
      <c r="S70" s="39" t="s">
        <v>17</v>
      </c>
      <c r="T70" s="28">
        <v>0.95489361702127595</v>
      </c>
      <c r="U70" s="28">
        <v>0.98503860209193805</v>
      </c>
      <c r="V70" s="28">
        <v>0.95443919120892795</v>
      </c>
      <c r="W70" s="28"/>
      <c r="X70" s="28"/>
      <c r="Y70" s="28"/>
    </row>
    <row r="71" spans="1:27" x14ac:dyDescent="0.3">
      <c r="A71" s="6">
        <v>38</v>
      </c>
      <c r="B71" s="6" t="s">
        <v>16</v>
      </c>
      <c r="C71" s="7">
        <f>MIN(Table1[[#This Row],[per_person]],64)*Table1[[#This Row],[truncate_num]]</f>
        <v>2432</v>
      </c>
      <c r="D71" s="95">
        <v>12</v>
      </c>
      <c r="E71" s="95">
        <v>12</v>
      </c>
      <c r="F71" s="8" t="s">
        <v>34</v>
      </c>
      <c r="G71" s="42" t="s">
        <v>38</v>
      </c>
      <c r="H71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71" s="5">
        <v>300</v>
      </c>
      <c r="J71" s="5" t="b">
        <v>0</v>
      </c>
      <c r="K71" s="5" t="s">
        <v>19</v>
      </c>
      <c r="L71" s="10">
        <f>MIN(Table1[[#This Row],[Features]],Table1[[#This Row],[components]])</f>
        <v>300</v>
      </c>
      <c r="M71" s="79" t="b">
        <v>0</v>
      </c>
      <c r="N71" s="80">
        <v>14</v>
      </c>
      <c r="O71" s="80" t="b">
        <v>0</v>
      </c>
      <c r="P71" s="81">
        <v>10</v>
      </c>
      <c r="Q71" s="10">
        <v>4.1196190914323701E-2</v>
      </c>
      <c r="R71" s="10">
        <v>0.55300000000000005</v>
      </c>
      <c r="S71" s="10" t="s">
        <v>17</v>
      </c>
      <c r="T71" s="28">
        <v>0.96425531914893603</v>
      </c>
      <c r="U71" s="28">
        <v>0.98961617247622302</v>
      </c>
      <c r="V71" s="28">
        <v>0.96274474127805298</v>
      </c>
      <c r="W71" s="28"/>
      <c r="X71" s="28"/>
      <c r="Y71" s="28"/>
    </row>
    <row r="72" spans="1:27" x14ac:dyDescent="0.3">
      <c r="A72" s="12">
        <v>38</v>
      </c>
      <c r="B72" s="12" t="s">
        <v>16</v>
      </c>
      <c r="C72" s="13">
        <f>MIN(Table1[[#This Row],[per_person]],64)*Table1[[#This Row],[truncate_num]]</f>
        <v>2432</v>
      </c>
      <c r="D72" s="94">
        <v>12</v>
      </c>
      <c r="E72" s="94">
        <v>12</v>
      </c>
      <c r="F72" s="11" t="s">
        <v>34</v>
      </c>
      <c r="G72" s="41" t="s">
        <v>38</v>
      </c>
      <c r="H72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72" s="14">
        <v>300</v>
      </c>
      <c r="J72" s="14" t="b">
        <v>0</v>
      </c>
      <c r="K72" s="14" t="s">
        <v>19</v>
      </c>
      <c r="L72" s="39">
        <f>MIN(Table1[[#This Row],[Features]],Table1[[#This Row],[components]])</f>
        <v>300</v>
      </c>
      <c r="M72" s="76" t="b">
        <v>0</v>
      </c>
      <c r="N72" s="77">
        <v>13</v>
      </c>
      <c r="O72" s="77" t="b">
        <v>0</v>
      </c>
      <c r="P72" s="78">
        <v>10</v>
      </c>
      <c r="Q72" s="39">
        <v>4.6361833095398597E-2</v>
      </c>
      <c r="R72" s="39">
        <v>0.56399999999999995</v>
      </c>
      <c r="S72" s="39" t="s">
        <v>17</v>
      </c>
      <c r="T72" s="28">
        <v>0.99106382978723395</v>
      </c>
      <c r="U72" s="28">
        <v>0.99161540782728796</v>
      </c>
      <c r="V72" s="28">
        <v>0.98290884607250795</v>
      </c>
      <c r="W72" s="32"/>
      <c r="X72" s="32"/>
      <c r="Y72" s="32"/>
    </row>
    <row r="73" spans="1:27" x14ac:dyDescent="0.3">
      <c r="A73" s="6">
        <v>38</v>
      </c>
      <c r="B73" s="6" t="s">
        <v>16</v>
      </c>
      <c r="C73" s="7">
        <f>MIN(Table1[[#This Row],[per_person]],64)*Table1[[#This Row],[truncate_num]]</f>
        <v>2432</v>
      </c>
      <c r="D73" s="8">
        <v>12</v>
      </c>
      <c r="E73" s="8">
        <v>12</v>
      </c>
      <c r="F73" s="8" t="s">
        <v>34</v>
      </c>
      <c r="G73" s="42" t="s">
        <v>38</v>
      </c>
      <c r="H73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73" s="5">
        <v>300</v>
      </c>
      <c r="J73" s="47" t="b">
        <v>0</v>
      </c>
      <c r="K73" s="47" t="s">
        <v>19</v>
      </c>
      <c r="L73" s="10">
        <f>MIN(Table1[[#This Row],[Features]],Table1[[#This Row],[components]])</f>
        <v>300</v>
      </c>
      <c r="M73" s="79" t="b">
        <v>0</v>
      </c>
      <c r="N73" s="80">
        <v>12</v>
      </c>
      <c r="O73" s="80" t="b">
        <v>0</v>
      </c>
      <c r="P73" s="81">
        <v>10</v>
      </c>
      <c r="Q73" s="10">
        <v>4.5368533603088103E-2</v>
      </c>
      <c r="R73" s="10">
        <v>0.57579999999999998</v>
      </c>
      <c r="S73" s="10" t="s">
        <v>17</v>
      </c>
      <c r="T73" s="28">
        <v>0.95702127659574399</v>
      </c>
      <c r="U73" s="28">
        <v>0.983753927655591</v>
      </c>
      <c r="V73" s="28">
        <v>0.94870413727427705</v>
      </c>
      <c r="W73" s="28"/>
      <c r="X73" s="28"/>
      <c r="Y73" s="28"/>
    </row>
    <row r="74" spans="1:27" x14ac:dyDescent="0.3">
      <c r="A74" s="12">
        <v>38</v>
      </c>
      <c r="B74" s="12" t="s">
        <v>16</v>
      </c>
      <c r="C74" s="13">
        <f>MIN(Table1[[#This Row],[per_person]],64)*Table1[[#This Row],[truncate_num]]</f>
        <v>2432</v>
      </c>
      <c r="D74" s="11">
        <v>12</v>
      </c>
      <c r="E74" s="11">
        <v>12</v>
      </c>
      <c r="F74" s="11" t="s">
        <v>34</v>
      </c>
      <c r="G74" s="41" t="s">
        <v>38</v>
      </c>
      <c r="H74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74" s="14">
        <v>300</v>
      </c>
      <c r="J74" s="46" t="b">
        <v>0</v>
      </c>
      <c r="K74" s="46" t="s">
        <v>19</v>
      </c>
      <c r="L74" s="39">
        <f>MIN(Table1[[#This Row],[Features]],Table1[[#This Row],[components]])</f>
        <v>300</v>
      </c>
      <c r="M74" s="76" t="b">
        <v>0</v>
      </c>
      <c r="N74" s="77">
        <v>11</v>
      </c>
      <c r="O74" s="77" t="b">
        <v>0</v>
      </c>
      <c r="P74" s="78">
        <v>10</v>
      </c>
      <c r="Q74" s="39">
        <v>4.5052035677404199E-2</v>
      </c>
      <c r="R74" s="39">
        <v>0.58709999999999996</v>
      </c>
      <c r="S74" s="39" t="s">
        <v>17</v>
      </c>
      <c r="T74" s="28">
        <v>0.95617021276595704</v>
      </c>
      <c r="U74" s="28">
        <v>0.98397811884727604</v>
      </c>
      <c r="V74" s="28">
        <v>0.94789970218503306</v>
      </c>
      <c r="W74" s="28"/>
      <c r="X74" s="28"/>
      <c r="Y74" s="28"/>
    </row>
    <row r="75" spans="1:27" x14ac:dyDescent="0.3">
      <c r="A75" s="6">
        <v>38</v>
      </c>
      <c r="B75" s="6" t="s">
        <v>16</v>
      </c>
      <c r="C75" s="7">
        <f>MIN(Table1[[#This Row],[per_person]],64)*Table1[[#This Row],[truncate_num]]</f>
        <v>2432</v>
      </c>
      <c r="D75" s="95">
        <v>12</v>
      </c>
      <c r="E75" s="95">
        <v>12</v>
      </c>
      <c r="F75" s="8" t="s">
        <v>34</v>
      </c>
      <c r="G75" s="42" t="s">
        <v>38</v>
      </c>
      <c r="H75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75" s="5">
        <v>300</v>
      </c>
      <c r="J75" s="5" t="b">
        <v>0</v>
      </c>
      <c r="K75" s="5" t="s">
        <v>19</v>
      </c>
      <c r="L75" s="10">
        <f>MIN(Table1[[#This Row],[Features]],Table1[[#This Row],[components]])</f>
        <v>300</v>
      </c>
      <c r="M75" s="79" t="b">
        <v>0</v>
      </c>
      <c r="N75" s="80">
        <v>10</v>
      </c>
      <c r="O75" s="80" t="b">
        <v>0</v>
      </c>
      <c r="P75" s="81">
        <v>10</v>
      </c>
      <c r="Q75" s="10">
        <v>4.4881259875143999E-2</v>
      </c>
      <c r="R75" s="10">
        <v>0.60040000000000004</v>
      </c>
      <c r="S75" s="10" t="s">
        <v>17</v>
      </c>
      <c r="T75" s="28">
        <v>0.96510638297872298</v>
      </c>
      <c r="U75" s="28">
        <v>0.98910316142585697</v>
      </c>
      <c r="V75" s="28">
        <v>0.96260693029095401</v>
      </c>
      <c r="W75" s="28"/>
      <c r="X75" s="28"/>
      <c r="Y75" s="28"/>
    </row>
    <row r="76" spans="1:27" x14ac:dyDescent="0.3">
      <c r="A76" s="12">
        <v>38</v>
      </c>
      <c r="B76" s="12" t="s">
        <v>16</v>
      </c>
      <c r="C76" s="13">
        <f>MIN(Table1[[#This Row],[per_person]],64)*Table1[[#This Row],[truncate_num]]</f>
        <v>2432</v>
      </c>
      <c r="D76" s="11">
        <v>12</v>
      </c>
      <c r="E76" s="11">
        <v>12</v>
      </c>
      <c r="F76" s="11" t="s">
        <v>34</v>
      </c>
      <c r="G76" s="41" t="s">
        <v>38</v>
      </c>
      <c r="H76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76" s="14">
        <v>300</v>
      </c>
      <c r="J76" s="46" t="b">
        <v>0</v>
      </c>
      <c r="K76" s="46" t="s">
        <v>19</v>
      </c>
      <c r="L76" s="39">
        <f>MIN(Table1[[#This Row],[Features]],Table1[[#This Row],[components]])</f>
        <v>300</v>
      </c>
      <c r="M76" s="76" t="b">
        <v>0</v>
      </c>
      <c r="N76" s="77">
        <v>9</v>
      </c>
      <c r="O76" s="77" t="b">
        <v>0</v>
      </c>
      <c r="P76" s="78">
        <v>10</v>
      </c>
      <c r="Q76" s="39">
        <v>4.3801125364942899E-2</v>
      </c>
      <c r="R76" s="39">
        <v>0.61650000000000005</v>
      </c>
      <c r="S76" s="39" t="s">
        <v>17</v>
      </c>
      <c r="T76" s="28">
        <v>0.95617021276595704</v>
      </c>
      <c r="U76" s="28">
        <v>0.98397811884727604</v>
      </c>
      <c r="V76" s="28">
        <v>0.94789970218503306</v>
      </c>
      <c r="W76" s="28"/>
      <c r="X76" s="28"/>
      <c r="Y76" s="28"/>
    </row>
    <row r="77" spans="1:27" x14ac:dyDescent="0.3">
      <c r="A77" s="6">
        <v>38</v>
      </c>
      <c r="B77" s="6" t="s">
        <v>16</v>
      </c>
      <c r="C77" s="7">
        <f>MIN(Table1[[#This Row],[per_person]],64)*Table1[[#This Row],[truncate_num]]</f>
        <v>2432</v>
      </c>
      <c r="D77" s="8">
        <v>12</v>
      </c>
      <c r="E77" s="8">
        <v>12</v>
      </c>
      <c r="F77" s="8" t="s">
        <v>34</v>
      </c>
      <c r="G77" s="42" t="s">
        <v>38</v>
      </c>
      <c r="H77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77" s="5">
        <v>300</v>
      </c>
      <c r="J77" s="47" t="b">
        <v>0</v>
      </c>
      <c r="K77" s="47" t="s">
        <v>19</v>
      </c>
      <c r="L77" s="10">
        <f>MIN(Table1[[#This Row],[Features]],Table1[[#This Row],[components]])</f>
        <v>300</v>
      </c>
      <c r="M77" s="79" t="b">
        <v>0</v>
      </c>
      <c r="N77" s="80">
        <v>7</v>
      </c>
      <c r="O77" s="80" t="b">
        <v>0</v>
      </c>
      <c r="P77" s="81">
        <v>10</v>
      </c>
      <c r="Q77" s="10">
        <v>4.3315939144831499E-2</v>
      </c>
      <c r="R77" s="10">
        <v>0.6653</v>
      </c>
      <c r="S77" s="10" t="s">
        <v>17</v>
      </c>
      <c r="T77" s="28">
        <v>0.94936170212765902</v>
      </c>
      <c r="U77" s="28">
        <v>0.97995489984437301</v>
      </c>
      <c r="V77" s="28">
        <v>0.93828577477020303</v>
      </c>
      <c r="W77" s="28"/>
      <c r="X77" s="28"/>
      <c r="Y77" s="28"/>
    </row>
    <row r="78" spans="1:27" x14ac:dyDescent="0.3">
      <c r="A78" s="12">
        <v>38</v>
      </c>
      <c r="B78" s="12" t="s">
        <v>16</v>
      </c>
      <c r="C78" s="13">
        <f>MIN(Table1[[#This Row],[per_person]],64)*Table1[[#This Row],[truncate_num]]</f>
        <v>2432</v>
      </c>
      <c r="D78" s="11">
        <v>12</v>
      </c>
      <c r="E78" s="11">
        <v>12</v>
      </c>
      <c r="F78" s="11" t="s">
        <v>34</v>
      </c>
      <c r="G78" s="41" t="s">
        <v>38</v>
      </c>
      <c r="H78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78" s="14">
        <v>300</v>
      </c>
      <c r="J78" s="14" t="b">
        <v>0</v>
      </c>
      <c r="K78" s="14" t="s">
        <v>19</v>
      </c>
      <c r="L78" s="39">
        <f>MIN(Table1[[#This Row],[Features]],Table1[[#This Row],[components]])</f>
        <v>300</v>
      </c>
      <c r="M78" s="76" t="b">
        <v>0</v>
      </c>
      <c r="N78" s="77">
        <v>5</v>
      </c>
      <c r="O78" s="77" t="b">
        <v>0</v>
      </c>
      <c r="P78" s="78">
        <v>10</v>
      </c>
      <c r="Q78" s="39">
        <v>4.2711877392520803E-2</v>
      </c>
      <c r="R78" s="39">
        <v>0.74129999999999996</v>
      </c>
      <c r="S78" s="39" t="s">
        <v>17</v>
      </c>
      <c r="T78" s="28">
        <v>0.89063829787233995</v>
      </c>
      <c r="U78" s="28">
        <v>0.95769861869065198</v>
      </c>
      <c r="V78" s="28">
        <v>0.87430147193739405</v>
      </c>
      <c r="W78" s="28"/>
      <c r="X78" s="28"/>
      <c r="Y78" s="28"/>
    </row>
    <row r="79" spans="1:27" x14ac:dyDescent="0.3">
      <c r="A79" s="6">
        <v>38</v>
      </c>
      <c r="B79" s="6" t="s">
        <v>16</v>
      </c>
      <c r="C79" s="7">
        <f>MIN(Table1[[#This Row],[per_person]],64)*Table1[[#This Row],[truncate_num]]</f>
        <v>2432</v>
      </c>
      <c r="D79" s="8">
        <v>12</v>
      </c>
      <c r="E79" s="8">
        <v>12</v>
      </c>
      <c r="F79" s="8" t="s">
        <v>34</v>
      </c>
      <c r="G79" s="42" t="s">
        <v>38</v>
      </c>
      <c r="H79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79" s="5">
        <v>300</v>
      </c>
      <c r="J79" s="5" t="b">
        <v>0</v>
      </c>
      <c r="K79" s="5" t="s">
        <v>19</v>
      </c>
      <c r="L79" s="10">
        <f>MIN(Table1[[#This Row],[Features]],Table1[[#This Row],[components]])</f>
        <v>300</v>
      </c>
      <c r="M79" s="79" t="b">
        <v>0</v>
      </c>
      <c r="N79" s="80">
        <v>2</v>
      </c>
      <c r="O79" s="80" t="b">
        <v>0</v>
      </c>
      <c r="P79" s="81">
        <v>10</v>
      </c>
      <c r="Q79" s="10">
        <v>2.5833313050581799E-2</v>
      </c>
      <c r="R79" s="10">
        <v>0.88129999999999997</v>
      </c>
      <c r="S79" s="10" t="s">
        <v>17</v>
      </c>
      <c r="T79" s="28">
        <v>4.4255319148936198E-2</v>
      </c>
      <c r="U79" s="28">
        <v>0.153243795418393</v>
      </c>
      <c r="V79" s="28">
        <v>9.74100474418277E-4</v>
      </c>
      <c r="W79" s="28"/>
      <c r="X79" s="28"/>
      <c r="Y79" s="28"/>
    </row>
    <row r="80" spans="1:27" x14ac:dyDescent="0.3">
      <c r="A80" s="12">
        <v>38</v>
      </c>
      <c r="B80" s="12" t="s">
        <v>16</v>
      </c>
      <c r="C80" s="13">
        <f>MIN(Table1[[#This Row],[per_person]],64)*Table1[[#This Row],[truncate_num]]</f>
        <v>2432</v>
      </c>
      <c r="D80" s="11">
        <v>12</v>
      </c>
      <c r="E80" s="11">
        <v>12</v>
      </c>
      <c r="F80" s="11" t="s">
        <v>34</v>
      </c>
      <c r="G80" s="41" t="s">
        <v>38</v>
      </c>
      <c r="H80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80" s="14">
        <v>300</v>
      </c>
      <c r="J80" s="14" t="b">
        <v>0</v>
      </c>
      <c r="K80" s="14" t="s">
        <v>19</v>
      </c>
      <c r="L80" s="39">
        <f>MIN(Table1[[#This Row],[Features]],Table1[[#This Row],[components]])</f>
        <v>300</v>
      </c>
      <c r="M80" s="76" t="b">
        <v>0</v>
      </c>
      <c r="N80" s="77">
        <v>13</v>
      </c>
      <c r="O80" s="77" t="b">
        <v>0</v>
      </c>
      <c r="P80" s="78">
        <v>2</v>
      </c>
      <c r="Q80" s="39">
        <v>7.69230769230769E-2</v>
      </c>
      <c r="R80" s="39">
        <v>0.27939999999999998</v>
      </c>
      <c r="S80" s="39" t="s">
        <v>17</v>
      </c>
      <c r="T80" s="28">
        <v>0.90808510638297801</v>
      </c>
      <c r="U80" s="28">
        <v>0.94230093917972002</v>
      </c>
      <c r="V80" s="28">
        <v>0.78106635877269204</v>
      </c>
      <c r="W80" s="28"/>
      <c r="X80" s="28"/>
      <c r="Y80" s="28"/>
      <c r="AA80" s="92">
        <v>46.083022</v>
      </c>
    </row>
    <row r="81" spans="1:30" x14ac:dyDescent="0.3">
      <c r="A81" s="6">
        <v>38</v>
      </c>
      <c r="B81" s="6" t="s">
        <v>16</v>
      </c>
      <c r="C81" s="7">
        <f>MIN(Table1[[#This Row],[per_person]],64)*Table1[[#This Row],[truncate_num]]</f>
        <v>2432</v>
      </c>
      <c r="D81" s="8">
        <v>12</v>
      </c>
      <c r="E81" s="8">
        <v>12</v>
      </c>
      <c r="F81" s="95" t="s">
        <v>34</v>
      </c>
      <c r="G81" s="97" t="s">
        <v>38</v>
      </c>
      <c r="H81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81" s="5">
        <v>300</v>
      </c>
      <c r="J81" s="5" t="b">
        <v>0</v>
      </c>
      <c r="K81" s="5" t="s">
        <v>19</v>
      </c>
      <c r="L81" s="10">
        <f>MIN(Table1[[#This Row],[Features]],Table1[[#This Row],[components]])</f>
        <v>300</v>
      </c>
      <c r="M81" s="79" t="b">
        <v>0</v>
      </c>
      <c r="N81" s="80">
        <v>13</v>
      </c>
      <c r="O81" s="80" t="b">
        <v>0</v>
      </c>
      <c r="P81" s="81">
        <v>3</v>
      </c>
      <c r="Q81" s="10">
        <v>3.6548873829977901E-2</v>
      </c>
      <c r="R81" s="10">
        <v>0.4274</v>
      </c>
      <c r="S81" s="10" t="s">
        <v>17</v>
      </c>
      <c r="T81" s="28">
        <v>0.94723404255319099</v>
      </c>
      <c r="U81" s="28">
        <v>0.98398180264841595</v>
      </c>
      <c r="V81" s="28">
        <v>0.94127136567154002</v>
      </c>
      <c r="W81" s="28"/>
      <c r="X81" s="28"/>
      <c r="Y81" s="28"/>
      <c r="AA81" s="92">
        <v>41.188319999999997</v>
      </c>
    </row>
    <row r="82" spans="1:30" x14ac:dyDescent="0.3">
      <c r="A82" s="12">
        <v>38</v>
      </c>
      <c r="B82" s="12" t="s">
        <v>16</v>
      </c>
      <c r="C82" s="13">
        <f>MIN(Table1[[#This Row],[per_person]],64)*Table1[[#This Row],[truncate_num]]</f>
        <v>2432</v>
      </c>
      <c r="D82" s="94">
        <v>12</v>
      </c>
      <c r="E82" s="94">
        <v>12</v>
      </c>
      <c r="F82" s="11" t="s">
        <v>34</v>
      </c>
      <c r="G82" s="41" t="s">
        <v>38</v>
      </c>
      <c r="H82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82" s="14">
        <v>300</v>
      </c>
      <c r="J82" s="14" t="b">
        <v>0</v>
      </c>
      <c r="K82" s="14" t="s">
        <v>19</v>
      </c>
      <c r="L82" s="39">
        <f>MIN(Table1[[#This Row],[Features]],Table1[[#This Row],[components]])</f>
        <v>300</v>
      </c>
      <c r="M82" s="76" t="b">
        <v>0</v>
      </c>
      <c r="N82" s="77">
        <v>13</v>
      </c>
      <c r="O82" s="77" t="b">
        <v>0</v>
      </c>
      <c r="P82" s="78">
        <v>5</v>
      </c>
      <c r="Q82" s="39">
        <v>6.1470423918150802E-2</v>
      </c>
      <c r="R82" s="39">
        <v>0.54259999999999997</v>
      </c>
      <c r="S82" s="39" t="s">
        <v>17</v>
      </c>
      <c r="T82" s="28">
        <v>0.99617021276595696</v>
      </c>
      <c r="U82" s="28">
        <v>0.99490608396595004</v>
      </c>
      <c r="V82" s="28">
        <v>0.99196956676599601</v>
      </c>
      <c r="W82" s="32"/>
      <c r="X82" s="32"/>
      <c r="Y82" s="32"/>
      <c r="AA82" s="92">
        <v>68.777620999999996</v>
      </c>
    </row>
    <row r="83" spans="1:30" x14ac:dyDescent="0.3">
      <c r="A83" s="6">
        <v>38</v>
      </c>
      <c r="B83" s="6" t="s">
        <v>16</v>
      </c>
      <c r="C83" s="7">
        <f>MIN(Table1[[#This Row],[per_person]],64)*Table1[[#This Row],[truncate_num]]</f>
        <v>2432</v>
      </c>
      <c r="D83" s="8">
        <v>12</v>
      </c>
      <c r="E83" s="8">
        <v>12</v>
      </c>
      <c r="F83" s="8" t="s">
        <v>34</v>
      </c>
      <c r="G83" s="42" t="s">
        <v>38</v>
      </c>
      <c r="H83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83" s="5">
        <v>300</v>
      </c>
      <c r="J83" s="47" t="b">
        <v>0</v>
      </c>
      <c r="K83" s="47" t="s">
        <v>19</v>
      </c>
      <c r="L83" s="10">
        <f>MIN(Table1[[#This Row],[Features]],Table1[[#This Row],[components]])</f>
        <v>300</v>
      </c>
      <c r="M83" s="79" t="b">
        <v>0</v>
      </c>
      <c r="N83" s="80">
        <v>13</v>
      </c>
      <c r="O83" s="80" t="b">
        <v>0</v>
      </c>
      <c r="P83" s="81">
        <v>15</v>
      </c>
      <c r="Q83" s="10">
        <v>2.4221281091461901E-2</v>
      </c>
      <c r="R83" s="10">
        <v>0.60250000000000004</v>
      </c>
      <c r="S83" s="10" t="s">
        <v>17</v>
      </c>
      <c r="T83" s="28">
        <v>0.95617021276595704</v>
      </c>
      <c r="U83" s="28">
        <v>0.98161421795607995</v>
      </c>
      <c r="V83" s="28">
        <v>0.94603463057662895</v>
      </c>
      <c r="W83" s="28"/>
      <c r="X83" s="28"/>
      <c r="Y83" s="28"/>
      <c r="AA83" s="92">
        <v>112.509609</v>
      </c>
    </row>
    <row r="84" spans="1:30" x14ac:dyDescent="0.3">
      <c r="A84" s="12">
        <v>38</v>
      </c>
      <c r="B84" s="12" t="s">
        <v>16</v>
      </c>
      <c r="C84" s="13">
        <f>MIN(Table1[[#This Row],[per_person]],64)*Table1[[#This Row],[truncate_num]]</f>
        <v>2432</v>
      </c>
      <c r="D84" s="11">
        <v>12</v>
      </c>
      <c r="E84" s="11">
        <v>12</v>
      </c>
      <c r="F84" s="11" t="s">
        <v>34</v>
      </c>
      <c r="G84" s="41" t="s">
        <v>38</v>
      </c>
      <c r="H84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84" s="14">
        <v>300</v>
      </c>
      <c r="J84" s="46" t="b">
        <v>0</v>
      </c>
      <c r="K84" s="46" t="s">
        <v>19</v>
      </c>
      <c r="L84" s="39">
        <f>MIN(Table1[[#This Row],[Features]],Table1[[#This Row],[components]])</f>
        <v>300</v>
      </c>
      <c r="M84" s="76" t="b">
        <v>0</v>
      </c>
      <c r="N84" s="77">
        <v>13</v>
      </c>
      <c r="O84" s="77" t="b">
        <v>0</v>
      </c>
      <c r="P84" s="78">
        <v>25</v>
      </c>
      <c r="Q84" s="39">
        <v>1.21430356603228E-2</v>
      </c>
      <c r="R84" s="39">
        <v>0.63370000000000004</v>
      </c>
      <c r="S84" s="39" t="s">
        <v>17</v>
      </c>
      <c r="T84" s="28">
        <v>0.95446808510638204</v>
      </c>
      <c r="U84" s="28">
        <v>0.98619319589208299</v>
      </c>
      <c r="V84" s="28">
        <v>0.95225290721308098</v>
      </c>
      <c r="W84" s="28"/>
      <c r="X84" s="28"/>
      <c r="Y84" s="28"/>
      <c r="AA84" s="92">
        <v>157.66749200000001</v>
      </c>
    </row>
    <row r="85" spans="1:30" x14ac:dyDescent="0.3">
      <c r="A85" s="6">
        <v>38</v>
      </c>
      <c r="B85" s="6" t="s">
        <v>16</v>
      </c>
      <c r="C85" s="7">
        <f>MIN(Table1[[#This Row],[per_person]],64)*Table1[[#This Row],[truncate_num]]</f>
        <v>2432</v>
      </c>
      <c r="D85" s="8">
        <v>12</v>
      </c>
      <c r="E85" s="8">
        <v>12</v>
      </c>
      <c r="F85" s="8" t="s">
        <v>34</v>
      </c>
      <c r="G85" s="42" t="s">
        <v>38</v>
      </c>
      <c r="H85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85" s="5">
        <v>300</v>
      </c>
      <c r="J85" s="5" t="b">
        <v>0</v>
      </c>
      <c r="K85" s="5" t="s">
        <v>19</v>
      </c>
      <c r="L85" s="10">
        <f>MIN(Table1[[#This Row],[Features]],Table1[[#This Row],[components]])</f>
        <v>300</v>
      </c>
      <c r="M85" s="79" t="b">
        <v>0</v>
      </c>
      <c r="N85" s="80">
        <v>13</v>
      </c>
      <c r="O85" s="80" t="b">
        <v>0</v>
      </c>
      <c r="P85" s="81">
        <v>50</v>
      </c>
      <c r="Q85" s="10">
        <v>1.8264436255044001E-3</v>
      </c>
      <c r="R85" s="10">
        <v>0.64670000000000005</v>
      </c>
      <c r="S85" s="10" t="s">
        <v>17</v>
      </c>
      <c r="T85" s="28">
        <v>0.92808510638297803</v>
      </c>
      <c r="U85" s="28">
        <v>0.97740073018491602</v>
      </c>
      <c r="V85" s="28">
        <v>0.91497621080729197</v>
      </c>
      <c r="W85" s="28"/>
      <c r="X85" s="28"/>
      <c r="Y85" s="28"/>
      <c r="AA85" s="92">
        <v>242.93731399999999</v>
      </c>
    </row>
    <row r="86" spans="1:30" x14ac:dyDescent="0.3">
      <c r="A86" s="12">
        <v>38</v>
      </c>
      <c r="B86" s="12" t="s">
        <v>16</v>
      </c>
      <c r="C86" s="13">
        <f>MIN(Table1[[#This Row],[per_person]],64)*Table1[[#This Row],[truncate_num]]</f>
        <v>2432</v>
      </c>
      <c r="D86" s="11">
        <v>12</v>
      </c>
      <c r="E86" s="11">
        <v>12</v>
      </c>
      <c r="F86" s="94" t="s">
        <v>34</v>
      </c>
      <c r="G86" s="96" t="s">
        <v>38</v>
      </c>
      <c r="H86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86" s="14">
        <v>300</v>
      </c>
      <c r="J86" s="14" t="b">
        <v>0</v>
      </c>
      <c r="K86" s="14" t="s">
        <v>19</v>
      </c>
      <c r="L86" s="39">
        <f>MIN(Table1[[#This Row],[Features]],Table1[[#This Row],[components]])</f>
        <v>300</v>
      </c>
      <c r="M86" s="76" t="b">
        <v>0</v>
      </c>
      <c r="N86" s="77">
        <v>13</v>
      </c>
      <c r="O86" s="77" t="b">
        <v>0</v>
      </c>
      <c r="P86" s="78">
        <v>100</v>
      </c>
      <c r="Q86" s="39">
        <v>5.7476750353181098E-4</v>
      </c>
      <c r="R86" s="39">
        <v>0.64970000000000006</v>
      </c>
      <c r="S86" s="39" t="s">
        <v>17</v>
      </c>
      <c r="T86" s="28">
        <v>0.94212765957446798</v>
      </c>
      <c r="U86" s="28">
        <v>0.97698581578219701</v>
      </c>
      <c r="V86" s="28">
        <v>0.92377620812404004</v>
      </c>
      <c r="W86" s="28"/>
      <c r="X86" s="28"/>
      <c r="Y86" s="28"/>
      <c r="AA86" s="92">
        <v>439.42707300000001</v>
      </c>
    </row>
    <row r="87" spans="1:30" ht="14.4" customHeight="1" x14ac:dyDescent="0.3">
      <c r="A87" s="6">
        <v>38</v>
      </c>
      <c r="B87" s="6" t="s">
        <v>16</v>
      </c>
      <c r="C87" s="7">
        <f>MIN(Table1[[#This Row],[per_person]],64)*Table1[[#This Row],[truncate_num]]</f>
        <v>2432</v>
      </c>
      <c r="D87" s="8">
        <v>12</v>
      </c>
      <c r="E87" s="8">
        <v>12</v>
      </c>
      <c r="F87" s="8" t="s">
        <v>34</v>
      </c>
      <c r="G87" s="42" t="s">
        <v>38</v>
      </c>
      <c r="H87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87" s="5">
        <v>300</v>
      </c>
      <c r="J87" s="5" t="b">
        <v>0</v>
      </c>
      <c r="K87" s="5" t="s">
        <v>19</v>
      </c>
      <c r="L87" s="10">
        <f>MIN(Table1[[#This Row],[Features]],Table1[[#This Row],[components]])</f>
        <v>300</v>
      </c>
      <c r="M87" s="79" t="b">
        <v>0</v>
      </c>
      <c r="N87" s="80">
        <v>13</v>
      </c>
      <c r="O87" s="80" t="b">
        <v>0</v>
      </c>
      <c r="P87" s="81">
        <v>250</v>
      </c>
      <c r="Q87" s="10">
        <v>1.0499397468572E-4</v>
      </c>
      <c r="R87" s="10">
        <v>0.65129999999999999</v>
      </c>
      <c r="S87" s="10" t="s">
        <v>17</v>
      </c>
      <c r="T87" s="28">
        <v>0.91744680851063798</v>
      </c>
      <c r="U87" s="28">
        <v>0.96190912037774001</v>
      </c>
      <c r="V87" s="28">
        <v>0.88475635150015497</v>
      </c>
      <c r="W87" s="28"/>
      <c r="X87" s="28"/>
      <c r="Y87" s="28"/>
      <c r="AA87" s="92">
        <v>1004.924343</v>
      </c>
      <c r="AB87" s="104" t="s">
        <v>55</v>
      </c>
      <c r="AC87" s="104"/>
      <c r="AD87" s="91"/>
    </row>
    <row r="88" spans="1:30" x14ac:dyDescent="0.3">
      <c r="A88" s="12">
        <v>38</v>
      </c>
      <c r="B88" s="12" t="s">
        <v>16</v>
      </c>
      <c r="C88" s="13">
        <f>MIN(Table1[[#This Row],[per_person]],64)*Table1[[#This Row],[truncate_num]]</f>
        <v>2432</v>
      </c>
      <c r="D88" s="11">
        <v>12</v>
      </c>
      <c r="E88" s="11">
        <v>12</v>
      </c>
      <c r="F88" s="11" t="s">
        <v>34</v>
      </c>
      <c r="G88" s="41" t="s">
        <v>38</v>
      </c>
      <c r="H88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88" s="14">
        <v>300</v>
      </c>
      <c r="J88" s="14" t="b">
        <v>0</v>
      </c>
      <c r="K88" s="14" t="s">
        <v>19</v>
      </c>
      <c r="L88" s="39">
        <f>MIN(Table1[[#This Row],[Features]],Table1[[#This Row],[components]])</f>
        <v>300</v>
      </c>
      <c r="M88" s="76" t="b">
        <v>0</v>
      </c>
      <c r="N88" s="77">
        <v>13</v>
      </c>
      <c r="O88" s="77" t="b">
        <v>0</v>
      </c>
      <c r="P88" s="78">
        <v>500</v>
      </c>
      <c r="Q88" s="39">
        <v>2.8591668964565699E-5</v>
      </c>
      <c r="R88" s="39">
        <v>0.6512</v>
      </c>
      <c r="S88" s="39" t="s">
        <v>17</v>
      </c>
      <c r="T88" s="28">
        <v>0.91106382978723399</v>
      </c>
      <c r="U88" s="28">
        <v>0.95558307348002802</v>
      </c>
      <c r="V88" s="28">
        <v>0.84848870586716696</v>
      </c>
      <c r="W88" s="28"/>
      <c r="X88" s="28"/>
      <c r="Y88" s="28"/>
      <c r="AA88">
        <v>288.08540099999999</v>
      </c>
      <c r="AB88" s="104"/>
      <c r="AC88" s="104"/>
      <c r="AD88" s="91"/>
    </row>
    <row r="89" spans="1:30" x14ac:dyDescent="0.3">
      <c r="A89" s="6">
        <v>38</v>
      </c>
      <c r="B89" s="6" t="s">
        <v>16</v>
      </c>
      <c r="C89" s="7">
        <f>MIN(Table1[[#This Row],[per_person]],64)*Table1[[#This Row],[truncate_num]]</f>
        <v>2432</v>
      </c>
      <c r="D89" s="8">
        <v>12</v>
      </c>
      <c r="E89" s="8">
        <v>12</v>
      </c>
      <c r="F89" s="8" t="s">
        <v>34</v>
      </c>
      <c r="G89" s="42" t="s">
        <v>38</v>
      </c>
      <c r="H89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89" s="5">
        <v>300</v>
      </c>
      <c r="J89" s="5" t="b">
        <v>0</v>
      </c>
      <c r="K89" s="5" t="s">
        <v>19</v>
      </c>
      <c r="L89" s="10">
        <f>MIN(Table1[[#This Row],[Features]],Table1[[#This Row],[components]])</f>
        <v>300</v>
      </c>
      <c r="M89" s="79" t="b">
        <v>0</v>
      </c>
      <c r="N89" s="80">
        <v>13</v>
      </c>
      <c r="O89" s="80" t="b">
        <v>0</v>
      </c>
      <c r="P89" s="81">
        <v>1000</v>
      </c>
      <c r="Q89" s="10">
        <v>5.5039742639571299E-6</v>
      </c>
      <c r="R89" s="10">
        <v>0.65110000000000001</v>
      </c>
      <c r="S89" s="10" t="s">
        <v>17</v>
      </c>
      <c r="T89" s="28">
        <v>0.90638297872340401</v>
      </c>
      <c r="U89" s="28">
        <v>0.948363295564988</v>
      </c>
      <c r="V89" s="28">
        <v>0.82479723468923205</v>
      </c>
      <c r="W89" s="28"/>
      <c r="X89" s="28"/>
      <c r="Y89" s="28"/>
      <c r="AA89">
        <v>565.50106600000004</v>
      </c>
      <c r="AB89" s="104"/>
      <c r="AC89" s="104"/>
      <c r="AD89" s="91"/>
    </row>
    <row r="90" spans="1:30" x14ac:dyDescent="0.3">
      <c r="A90" s="12">
        <v>38</v>
      </c>
      <c r="B90" s="12" t="s">
        <v>16</v>
      </c>
      <c r="C90" s="13">
        <f>MIN(Table1[[#This Row],[per_person]],64)*Table1[[#This Row],[truncate_num]]</f>
        <v>2432</v>
      </c>
      <c r="D90" s="11">
        <v>12</v>
      </c>
      <c r="E90" s="11">
        <v>12</v>
      </c>
      <c r="F90" s="11" t="s">
        <v>34</v>
      </c>
      <c r="G90" s="41" t="s">
        <v>38</v>
      </c>
      <c r="H90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90" s="14">
        <v>300</v>
      </c>
      <c r="J90" s="14" t="b">
        <v>0</v>
      </c>
      <c r="K90" s="14" t="s">
        <v>19</v>
      </c>
      <c r="L90" s="39">
        <f>MIN(Table1[[#This Row],[Features]],Table1[[#This Row],[components]])</f>
        <v>300</v>
      </c>
      <c r="M90" s="76" t="b">
        <v>0</v>
      </c>
      <c r="N90" s="77">
        <v>13</v>
      </c>
      <c r="O90" s="77" t="b">
        <v>0</v>
      </c>
      <c r="P90" s="78">
        <v>10000</v>
      </c>
      <c r="Q90" s="39">
        <v>9.0249E-16</v>
      </c>
      <c r="R90" s="39">
        <v>0.65110000000000001</v>
      </c>
      <c r="S90" s="39" t="s">
        <v>17</v>
      </c>
      <c r="T90" s="28">
        <v>0.90893617021276596</v>
      </c>
      <c r="U90" s="28">
        <v>0.96403201246563397</v>
      </c>
      <c r="V90" s="28">
        <v>0.889085662774598</v>
      </c>
      <c r="W90" s="28"/>
      <c r="X90" s="28"/>
      <c r="Y90" s="28"/>
      <c r="AA90" s="92">
        <v>9017.8185279999998</v>
      </c>
      <c r="AB90" s="104"/>
      <c r="AC90" s="104"/>
      <c r="AD90" s="91"/>
    </row>
    <row r="91" spans="1:30" x14ac:dyDescent="0.3">
      <c r="A91" s="6">
        <v>38</v>
      </c>
      <c r="B91" s="6" t="s">
        <v>16</v>
      </c>
      <c r="C91" s="7">
        <f>MIN(Table1[[#This Row],[per_person]],64)*Table1[[#This Row],[truncate_num]]</f>
        <v>2432</v>
      </c>
      <c r="D91" s="8">
        <v>12</v>
      </c>
      <c r="E91" s="8">
        <v>12</v>
      </c>
      <c r="F91" s="8" t="s">
        <v>34</v>
      </c>
      <c r="G91" s="42" t="s">
        <v>38</v>
      </c>
      <c r="H91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91" s="5">
        <v>300</v>
      </c>
      <c r="J91" s="5" t="b">
        <v>0</v>
      </c>
      <c r="K91" s="5" t="s">
        <v>19</v>
      </c>
      <c r="L91" s="10">
        <f>MIN(Table1[[#This Row],[Features]],Table1[[#This Row],[components]])</f>
        <v>300</v>
      </c>
      <c r="M91" s="79" t="b">
        <v>0</v>
      </c>
      <c r="N91" s="80">
        <v>1</v>
      </c>
      <c r="O91" s="80" t="b">
        <v>0</v>
      </c>
      <c r="P91" s="81">
        <v>128</v>
      </c>
      <c r="Q91" s="10">
        <v>6.6932785080588901E-4</v>
      </c>
      <c r="R91" s="10">
        <v>0.99009999999999998</v>
      </c>
      <c r="S91" s="10" t="s">
        <v>17</v>
      </c>
      <c r="T91" s="28">
        <v>2.7659574468085001E-2</v>
      </c>
      <c r="U91" s="28">
        <v>8.7014078482477095E-2</v>
      </c>
      <c r="V91" s="28">
        <v>4.5763777483798999E-4</v>
      </c>
      <c r="W91" s="28"/>
      <c r="X91" s="28"/>
      <c r="Y91" s="28"/>
      <c r="AB91" s="104"/>
      <c r="AC91" s="104"/>
    </row>
    <row r="92" spans="1:30" x14ac:dyDescent="0.3">
      <c r="A92" s="12">
        <v>38</v>
      </c>
      <c r="B92" s="12" t="s">
        <v>16</v>
      </c>
      <c r="C92" s="13">
        <f>MIN(Table1[[#This Row],[per_person]],64)*Table1[[#This Row],[truncate_num]]</f>
        <v>2432</v>
      </c>
      <c r="D92" s="94">
        <v>12</v>
      </c>
      <c r="E92" s="94">
        <v>12</v>
      </c>
      <c r="F92" s="11" t="s">
        <v>34</v>
      </c>
      <c r="G92" s="41" t="s">
        <v>38</v>
      </c>
      <c r="H92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92" s="14">
        <v>300</v>
      </c>
      <c r="J92" s="14" t="b">
        <v>0</v>
      </c>
      <c r="K92" s="14" t="s">
        <v>19</v>
      </c>
      <c r="L92" s="39">
        <f>MIN(Table1[[#This Row],[Features]],Table1[[#This Row],[components]])</f>
        <v>300</v>
      </c>
      <c r="M92" s="76" t="b">
        <v>0</v>
      </c>
      <c r="N92" s="77">
        <v>20</v>
      </c>
      <c r="O92" s="77" t="b">
        <v>0</v>
      </c>
      <c r="P92" s="78">
        <v>5</v>
      </c>
      <c r="Q92" s="39">
        <v>5.1644647196867399E-2</v>
      </c>
      <c r="R92" s="39">
        <v>0.48899999999999999</v>
      </c>
      <c r="S92" s="39" t="s">
        <v>17</v>
      </c>
      <c r="T92" s="28">
        <v>0.96510638297872298</v>
      </c>
      <c r="U92" s="28">
        <v>0.98865075068796004</v>
      </c>
      <c r="V92" s="28">
        <v>0.96033242635031901</v>
      </c>
      <c r="W92" s="28"/>
      <c r="X92" s="28"/>
      <c r="Y92" s="28"/>
    </row>
    <row r="93" spans="1:30" x14ac:dyDescent="0.3">
      <c r="A93" s="6">
        <v>38</v>
      </c>
      <c r="B93" s="6" t="s">
        <v>16</v>
      </c>
      <c r="C93" s="7">
        <f>MIN(Table1[[#This Row],[per_person]],64)*Table1[[#This Row],[truncate_num]]</f>
        <v>2432</v>
      </c>
      <c r="D93" s="8">
        <v>12</v>
      </c>
      <c r="E93" s="8">
        <v>12</v>
      </c>
      <c r="F93" s="8" t="s">
        <v>34</v>
      </c>
      <c r="G93" s="42" t="s">
        <v>38</v>
      </c>
      <c r="H93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93" s="5">
        <v>300</v>
      </c>
      <c r="J93" s="5" t="b">
        <v>0</v>
      </c>
      <c r="K93" s="5" t="s">
        <v>19</v>
      </c>
      <c r="L93" s="10">
        <f>MIN(Table1[[#This Row],[Features]],Table1[[#This Row],[components]])</f>
        <v>300</v>
      </c>
      <c r="M93" s="79" t="b">
        <v>0</v>
      </c>
      <c r="N93" s="80">
        <v>150</v>
      </c>
      <c r="O93" s="80" t="b">
        <v>0</v>
      </c>
      <c r="P93" s="81">
        <v>5</v>
      </c>
      <c r="Q93" s="10">
        <v>1.3333333333333299E-2</v>
      </c>
      <c r="R93" s="10">
        <v>0.15279999999999999</v>
      </c>
      <c r="S93" s="10" t="s">
        <v>17</v>
      </c>
      <c r="T93" s="28">
        <v>0.63872340425531904</v>
      </c>
      <c r="U93" s="28">
        <v>0.70705402724857802</v>
      </c>
      <c r="V93" s="28">
        <v>0.30894831353693403</v>
      </c>
      <c r="W93" s="28"/>
      <c r="X93" s="28"/>
      <c r="Y93" s="28"/>
    </row>
    <row r="94" spans="1:30" x14ac:dyDescent="0.3">
      <c r="A94" s="12">
        <v>38</v>
      </c>
      <c r="B94" s="12" t="s">
        <v>16</v>
      </c>
      <c r="C94" s="13">
        <f>MIN(Table1[[#This Row],[per_person]],64)*Table1[[#This Row],[truncate_num]]</f>
        <v>2432</v>
      </c>
      <c r="D94" s="11">
        <v>12</v>
      </c>
      <c r="E94" s="11">
        <v>12</v>
      </c>
      <c r="F94" s="11" t="s">
        <v>34</v>
      </c>
      <c r="G94" s="41" t="s">
        <v>38</v>
      </c>
      <c r="H94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94" s="14">
        <v>300</v>
      </c>
      <c r="J94" s="14" t="b">
        <v>0</v>
      </c>
      <c r="K94" s="14" t="s">
        <v>19</v>
      </c>
      <c r="L94" s="39">
        <f>MIN(Table1[[#This Row],[Features]],Table1[[#This Row],[components]])</f>
        <v>300</v>
      </c>
      <c r="M94" s="76" t="b">
        <v>0</v>
      </c>
      <c r="N94" s="77">
        <v>64</v>
      </c>
      <c r="O94" s="77" t="b">
        <v>0</v>
      </c>
      <c r="P94" s="78">
        <v>10</v>
      </c>
      <c r="Q94" s="39">
        <v>1.9982066512647001E-2</v>
      </c>
      <c r="R94" s="39">
        <v>0.2495</v>
      </c>
      <c r="S94" s="39" t="s">
        <v>17</v>
      </c>
      <c r="T94" s="28">
        <v>0.58978723404255295</v>
      </c>
      <c r="U94" s="28">
        <v>0.69158426972513798</v>
      </c>
      <c r="V94" s="28">
        <v>0.124924012154013</v>
      </c>
      <c r="W94" s="28"/>
      <c r="X94" s="28"/>
      <c r="Y94" s="28"/>
    </row>
    <row r="95" spans="1:30" x14ac:dyDescent="0.3">
      <c r="A95" s="6">
        <v>38</v>
      </c>
      <c r="B95" s="6" t="s">
        <v>16</v>
      </c>
      <c r="C95" s="7">
        <f>MIN(Table1[[#This Row],[per_person]],64)*Table1[[#This Row],[truncate_num]]</f>
        <v>2432</v>
      </c>
      <c r="D95" s="8">
        <v>12</v>
      </c>
      <c r="E95" s="8">
        <v>12</v>
      </c>
      <c r="F95" s="8" t="s">
        <v>34</v>
      </c>
      <c r="G95" s="42" t="s">
        <v>38</v>
      </c>
      <c r="H95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95" s="5">
        <v>300</v>
      </c>
      <c r="J95" s="5" t="b">
        <v>0</v>
      </c>
      <c r="K95" s="5" t="s">
        <v>19</v>
      </c>
      <c r="L95" s="10">
        <f>MIN(Table1[[#This Row],[Features]],Table1[[#This Row],[components]])</f>
        <v>300</v>
      </c>
      <c r="M95" s="79" t="b">
        <v>0</v>
      </c>
      <c r="N95" s="80">
        <v>64</v>
      </c>
      <c r="O95" s="80" t="b">
        <v>0</v>
      </c>
      <c r="P95" s="81">
        <v>150</v>
      </c>
      <c r="Q95" s="10">
        <v>1.9243126446927801E-4</v>
      </c>
      <c r="R95" s="10">
        <v>0.23780000000000001</v>
      </c>
      <c r="S95" s="10" t="s">
        <v>17</v>
      </c>
      <c r="T95" s="28">
        <v>0.549361702127659</v>
      </c>
      <c r="U95" s="28">
        <v>0.63291540306738603</v>
      </c>
      <c r="V95" s="28">
        <v>0.13554697848078601</v>
      </c>
      <c r="W95" s="28"/>
      <c r="X95" s="28"/>
      <c r="Y95" s="28"/>
    </row>
    <row r="96" spans="1:30" x14ac:dyDescent="0.3">
      <c r="A96" s="12">
        <v>38</v>
      </c>
      <c r="B96" s="12" t="s">
        <v>16</v>
      </c>
      <c r="C96" s="13">
        <f>MIN(Table1[[#This Row],[per_person]],64)*Table1[[#This Row],[truncate_num]]</f>
        <v>2432</v>
      </c>
      <c r="D96" s="11">
        <v>12</v>
      </c>
      <c r="E96" s="11">
        <v>12</v>
      </c>
      <c r="F96" s="11" t="s">
        <v>34</v>
      </c>
      <c r="G96" s="41" t="s">
        <v>38</v>
      </c>
      <c r="H96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96" s="14">
        <v>300</v>
      </c>
      <c r="J96" s="14" t="b">
        <v>0</v>
      </c>
      <c r="K96" s="14" t="s">
        <v>19</v>
      </c>
      <c r="L96" s="39">
        <f>MIN(Table1[[#This Row],[Features]],Table1[[#This Row],[components]])</f>
        <v>300</v>
      </c>
      <c r="M96" s="76" t="b">
        <v>0</v>
      </c>
      <c r="N96" s="77">
        <v>4</v>
      </c>
      <c r="O96" s="77" t="b">
        <v>0</v>
      </c>
      <c r="P96" s="78">
        <v>30</v>
      </c>
      <c r="Q96" s="39">
        <v>4.58465783971773E-3</v>
      </c>
      <c r="R96" s="39">
        <v>0.84399999999999997</v>
      </c>
      <c r="S96" s="39" t="s">
        <v>17</v>
      </c>
      <c r="T96" s="28">
        <v>0.91361702127659505</v>
      </c>
      <c r="U96" s="28">
        <v>0.97070134511202899</v>
      </c>
      <c r="V96" s="28">
        <v>0.88392541638143396</v>
      </c>
      <c r="W96" s="28"/>
      <c r="X96" s="28"/>
      <c r="Y96" s="28"/>
    </row>
    <row r="97" spans="1:25" x14ac:dyDescent="0.3">
      <c r="A97" s="6">
        <v>38</v>
      </c>
      <c r="B97" s="6" t="s">
        <v>16</v>
      </c>
      <c r="C97" s="7">
        <f>MIN(Table1[[#This Row],[per_person]],64)*Table1[[#This Row],[truncate_num]]</f>
        <v>2432</v>
      </c>
      <c r="D97" s="8">
        <v>12</v>
      </c>
      <c r="E97" s="8">
        <v>12</v>
      </c>
      <c r="F97" s="8" t="s">
        <v>34</v>
      </c>
      <c r="G97" s="42" t="s">
        <v>38</v>
      </c>
      <c r="H97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97" s="5">
        <v>300</v>
      </c>
      <c r="J97" s="5" t="b">
        <v>0</v>
      </c>
      <c r="K97" s="5" t="s">
        <v>19</v>
      </c>
      <c r="L97" s="10">
        <f>MIN(Table1[[#This Row],[Features]],Table1[[#This Row],[components]])</f>
        <v>300</v>
      </c>
      <c r="M97" s="79" t="b">
        <v>0</v>
      </c>
      <c r="N97" s="80">
        <v>2</v>
      </c>
      <c r="O97" s="80" t="b">
        <v>0</v>
      </c>
      <c r="P97" s="81">
        <v>50</v>
      </c>
      <c r="Q97" s="10">
        <v>3.4036166144721701E-3</v>
      </c>
      <c r="R97" s="10">
        <v>0.95430000000000004</v>
      </c>
      <c r="S97" s="10" t="s">
        <v>17</v>
      </c>
      <c r="T97" s="28">
        <v>0.266382978723404</v>
      </c>
      <c r="U97" s="28">
        <v>0.48229745582341699</v>
      </c>
      <c r="V97" s="28">
        <v>2.3026054260742699E-2</v>
      </c>
      <c r="W97" s="28"/>
      <c r="X97" s="28"/>
      <c r="Y97" s="28"/>
    </row>
    <row r="98" spans="1:25" x14ac:dyDescent="0.3">
      <c r="A98" s="12">
        <v>38</v>
      </c>
      <c r="B98" s="12" t="s">
        <v>16</v>
      </c>
      <c r="C98" s="13">
        <f>MIN(Table1[[#This Row],[per_person]],64)*Table1[[#This Row],[truncate_num]]</f>
        <v>2432</v>
      </c>
      <c r="D98" s="11">
        <v>12</v>
      </c>
      <c r="E98" s="11">
        <v>12</v>
      </c>
      <c r="F98" s="11" t="s">
        <v>34</v>
      </c>
      <c r="G98" s="41" t="s">
        <v>38</v>
      </c>
      <c r="H98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98" s="14">
        <v>300</v>
      </c>
      <c r="J98" s="14" t="b">
        <v>0</v>
      </c>
      <c r="K98" s="14" t="s">
        <v>19</v>
      </c>
      <c r="L98" s="39">
        <f>MIN(Table1[[#This Row],[Features]],Table1[[#This Row],[components]])</f>
        <v>300</v>
      </c>
      <c r="M98" s="76" t="b">
        <v>0</v>
      </c>
      <c r="N98" s="77">
        <v>1</v>
      </c>
      <c r="O98" s="77" t="b">
        <v>0</v>
      </c>
      <c r="P98" s="78">
        <v>2</v>
      </c>
      <c r="Q98" s="39">
        <v>0.178807335772558</v>
      </c>
      <c r="R98" s="39">
        <v>0.27939999999999998</v>
      </c>
      <c r="S98" s="39" t="s">
        <v>17</v>
      </c>
      <c r="T98" s="28">
        <v>2.7659574468085001E-2</v>
      </c>
      <c r="U98" s="28">
        <v>8.7014078482477095E-2</v>
      </c>
      <c r="V98" s="28">
        <v>4.5763777483798999E-4</v>
      </c>
      <c r="W98" s="28"/>
      <c r="X98" s="28"/>
      <c r="Y98" s="28"/>
    </row>
    <row r="99" spans="1:25" x14ac:dyDescent="0.3">
      <c r="A99" s="6">
        <v>38</v>
      </c>
      <c r="B99" s="6" t="s">
        <v>16</v>
      </c>
      <c r="C99" s="7">
        <f>MIN(Table1[[#This Row],[per_person]],64)*Table1[[#This Row],[truncate_num]]</f>
        <v>2432</v>
      </c>
      <c r="D99" s="8">
        <v>12</v>
      </c>
      <c r="E99" s="8">
        <v>12</v>
      </c>
      <c r="F99" s="8" t="s">
        <v>34</v>
      </c>
      <c r="G99" s="42" t="s">
        <v>38</v>
      </c>
      <c r="H99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99" s="5">
        <v>300</v>
      </c>
      <c r="J99" s="5" t="b">
        <v>0</v>
      </c>
      <c r="K99" s="5" t="s">
        <v>19</v>
      </c>
      <c r="L99" s="10">
        <f>MIN(Table1[[#This Row],[Features]],Table1[[#This Row],[components]])</f>
        <v>300</v>
      </c>
      <c r="M99" s="79" t="b">
        <v>0</v>
      </c>
      <c r="N99" s="80">
        <v>5</v>
      </c>
      <c r="O99" s="80" t="b">
        <v>0</v>
      </c>
      <c r="P99" s="81">
        <v>2</v>
      </c>
      <c r="Q99" s="10">
        <v>0.178807335772558</v>
      </c>
      <c r="R99" s="10">
        <v>0.27939999999999998</v>
      </c>
      <c r="S99" s="10" t="s">
        <v>17</v>
      </c>
      <c r="T99" s="28">
        <v>2.7659574468085001E-2</v>
      </c>
      <c r="U99" s="28">
        <v>8.7014078482477095E-2</v>
      </c>
      <c r="V99" s="28">
        <v>4.5763777483798999E-4</v>
      </c>
      <c r="W99" s="28"/>
      <c r="X99" s="28"/>
      <c r="Y99" s="28"/>
    </row>
    <row r="100" spans="1:25" x14ac:dyDescent="0.3">
      <c r="A100" s="12">
        <v>38</v>
      </c>
      <c r="B100" s="12" t="s">
        <v>16</v>
      </c>
      <c r="C100" s="13">
        <f>MIN(Table1[[#This Row],[per_person]],64)*Table1[[#This Row],[truncate_num]]</f>
        <v>2432</v>
      </c>
      <c r="D100" s="11">
        <v>12</v>
      </c>
      <c r="E100" s="11">
        <v>12</v>
      </c>
      <c r="F100" s="11" t="s">
        <v>34</v>
      </c>
      <c r="G100" s="41" t="s">
        <v>38</v>
      </c>
      <c r="H100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00" s="14">
        <v>300</v>
      </c>
      <c r="J100" s="14" t="b">
        <v>0</v>
      </c>
      <c r="K100" s="14" t="s">
        <v>19</v>
      </c>
      <c r="L100" s="39">
        <f>MIN(Table1[[#This Row],[Features]],Table1[[#This Row],[components]])</f>
        <v>300</v>
      </c>
      <c r="M100" s="76" t="b">
        <v>0</v>
      </c>
      <c r="N100" s="77">
        <v>15</v>
      </c>
      <c r="O100" s="77" t="b">
        <v>0</v>
      </c>
      <c r="P100" s="78">
        <v>2</v>
      </c>
      <c r="Q100" s="39">
        <v>6.6666666666666596E-2</v>
      </c>
      <c r="R100" s="39">
        <v>0.27939999999999998</v>
      </c>
      <c r="S100" s="39" t="s">
        <v>17</v>
      </c>
      <c r="T100" s="28">
        <v>0.71148936170212695</v>
      </c>
      <c r="U100" s="28">
        <v>0.83980131180186501</v>
      </c>
      <c r="V100" s="28">
        <v>0.39430082728603599</v>
      </c>
      <c r="W100" s="28"/>
      <c r="X100" s="28"/>
      <c r="Y100" s="28"/>
    </row>
    <row r="101" spans="1:25" x14ac:dyDescent="0.3">
      <c r="A101" s="6">
        <v>38</v>
      </c>
      <c r="B101" s="6" t="s">
        <v>16</v>
      </c>
      <c r="C101" s="7">
        <f>MIN(Table1[[#This Row],[per_person]],64)*Table1[[#This Row],[truncate_num]]</f>
        <v>2432</v>
      </c>
      <c r="D101" s="8">
        <v>12</v>
      </c>
      <c r="E101" s="8">
        <v>12</v>
      </c>
      <c r="F101" s="8" t="s">
        <v>34</v>
      </c>
      <c r="G101" s="42" t="s">
        <v>38</v>
      </c>
      <c r="H101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01" s="47">
        <v>300</v>
      </c>
      <c r="J101" s="5" t="b">
        <v>0</v>
      </c>
      <c r="K101" s="47" t="s">
        <v>19</v>
      </c>
      <c r="L101" s="10">
        <f>MIN(Table1[[#This Row],[Features]],Table1[[#This Row],[components]])</f>
        <v>300</v>
      </c>
      <c r="M101" s="79" t="b">
        <v>0</v>
      </c>
      <c r="N101" s="80">
        <v>45</v>
      </c>
      <c r="O101" s="80" t="b">
        <v>0</v>
      </c>
      <c r="P101" s="81">
        <v>2</v>
      </c>
      <c r="Q101" s="10">
        <v>2.2222222222222199E-2</v>
      </c>
      <c r="R101" s="10">
        <v>0.27939999999999998</v>
      </c>
      <c r="S101" s="10" t="s">
        <v>17</v>
      </c>
      <c r="T101" s="28">
        <v>0.99787234042553197</v>
      </c>
      <c r="U101" s="28">
        <v>0.99695112729703605</v>
      </c>
      <c r="V101" s="28">
        <v>0.99549151746959996</v>
      </c>
      <c r="W101" s="32"/>
      <c r="X101" s="32"/>
      <c r="Y101" s="32"/>
    </row>
    <row r="102" spans="1:25" x14ac:dyDescent="0.3">
      <c r="A102" s="12">
        <v>38</v>
      </c>
      <c r="B102" s="12" t="s">
        <v>16</v>
      </c>
      <c r="C102" s="13">
        <f>MIN(Table1[[#This Row],[per_person]],64)*Table1[[#This Row],[truncate_num]]</f>
        <v>2432</v>
      </c>
      <c r="D102" s="11">
        <v>12</v>
      </c>
      <c r="E102" s="11">
        <v>12</v>
      </c>
      <c r="F102" s="11" t="s">
        <v>34</v>
      </c>
      <c r="G102" s="41" t="s">
        <v>38</v>
      </c>
      <c r="H102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02" s="46">
        <v>300</v>
      </c>
      <c r="J102" s="14" t="b">
        <v>0</v>
      </c>
      <c r="K102" s="46" t="s">
        <v>19</v>
      </c>
      <c r="L102" s="39">
        <f>MIN(Table1[[#This Row],[Features]],Table1[[#This Row],[components]])</f>
        <v>300</v>
      </c>
      <c r="M102" s="76" t="b">
        <v>0</v>
      </c>
      <c r="N102" s="77">
        <v>100</v>
      </c>
      <c r="O102" s="77" t="b">
        <v>0</v>
      </c>
      <c r="P102" s="78">
        <v>2</v>
      </c>
      <c r="Q102" s="39">
        <v>0.01</v>
      </c>
      <c r="R102" s="39">
        <v>0.27939999999999998</v>
      </c>
      <c r="S102" s="39" t="s">
        <v>17</v>
      </c>
      <c r="T102" s="28">
        <v>0.99872340425531902</v>
      </c>
      <c r="U102" s="28">
        <v>0.99817334341164199</v>
      </c>
      <c r="V102" s="28">
        <v>0.99731572029379301</v>
      </c>
      <c r="W102" s="32"/>
      <c r="X102" s="32"/>
      <c r="Y102" s="32"/>
    </row>
    <row r="103" spans="1:25" x14ac:dyDescent="0.3">
      <c r="A103" s="6">
        <v>38</v>
      </c>
      <c r="B103" s="6" t="s">
        <v>16</v>
      </c>
      <c r="C103" s="7">
        <f>MIN(Table1[[#This Row],[per_person]],64)*Table1[[#This Row],[truncate_num]]</f>
        <v>2432</v>
      </c>
      <c r="D103" s="8">
        <v>12</v>
      </c>
      <c r="E103" s="8">
        <v>12</v>
      </c>
      <c r="F103" s="8" t="s">
        <v>34</v>
      </c>
      <c r="G103" s="42" t="s">
        <v>38</v>
      </c>
      <c r="H103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03" s="5">
        <v>300</v>
      </c>
      <c r="J103" s="5" t="b">
        <v>0</v>
      </c>
      <c r="K103" s="5" t="s">
        <v>19</v>
      </c>
      <c r="L103" s="10">
        <f>MIN(Table1[[#This Row],[Features]],Table1[[#This Row],[components]])</f>
        <v>300</v>
      </c>
      <c r="M103" s="79" t="b">
        <v>0</v>
      </c>
      <c r="N103" s="80">
        <v>180</v>
      </c>
      <c r="O103" s="80" t="b">
        <v>0</v>
      </c>
      <c r="P103" s="81">
        <v>2</v>
      </c>
      <c r="Q103" s="10">
        <v>5.5555555555555601E-3</v>
      </c>
      <c r="R103" s="10">
        <v>0.27939999999999998</v>
      </c>
      <c r="S103" s="10" t="s">
        <v>17</v>
      </c>
      <c r="T103" s="28">
        <v>0.89446808510638298</v>
      </c>
      <c r="U103" s="28">
        <v>0.93394794406705595</v>
      </c>
      <c r="V103" s="28">
        <v>0.81984779090078097</v>
      </c>
      <c r="W103" s="28"/>
      <c r="X103" s="28"/>
      <c r="Y103" s="28"/>
    </row>
    <row r="104" spans="1:25" x14ac:dyDescent="0.3">
      <c r="A104" s="12">
        <v>38</v>
      </c>
      <c r="B104" s="12" t="s">
        <v>16</v>
      </c>
      <c r="C104" s="13">
        <f>MIN(Table1[[#This Row],[per_person]],64)*Table1[[#This Row],[truncate_num]]</f>
        <v>2432</v>
      </c>
      <c r="D104" s="11">
        <v>12</v>
      </c>
      <c r="E104" s="11">
        <v>12</v>
      </c>
      <c r="F104" s="11" t="s">
        <v>34</v>
      </c>
      <c r="G104" s="41" t="s">
        <v>38</v>
      </c>
      <c r="H104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04" s="14">
        <v>300</v>
      </c>
      <c r="J104" s="14" t="b">
        <v>0</v>
      </c>
      <c r="K104" s="14" t="s">
        <v>19</v>
      </c>
      <c r="L104" s="39">
        <f>MIN(Table1[[#This Row],[Features]],Table1[[#This Row],[components]])</f>
        <v>300</v>
      </c>
      <c r="M104" s="76" t="b">
        <v>0</v>
      </c>
      <c r="N104" s="77">
        <v>3</v>
      </c>
      <c r="O104" s="77" t="b">
        <v>0</v>
      </c>
      <c r="P104" s="78">
        <v>2</v>
      </c>
      <c r="Q104" s="39">
        <v>0.178807335772558</v>
      </c>
      <c r="R104" s="39">
        <v>0.27939999999999998</v>
      </c>
      <c r="S104" s="39" t="s">
        <v>17</v>
      </c>
      <c r="T104" s="28">
        <v>2.7659574468085001E-2</v>
      </c>
      <c r="U104" s="28">
        <v>8.7014078482477095E-2</v>
      </c>
      <c r="V104" s="28">
        <v>4.5763777483798999E-4</v>
      </c>
      <c r="W104" s="28"/>
      <c r="X104" s="28"/>
      <c r="Y104" s="28"/>
    </row>
    <row r="105" spans="1:25" x14ac:dyDescent="0.3">
      <c r="A105" s="6">
        <v>38</v>
      </c>
      <c r="B105" s="6" t="s">
        <v>16</v>
      </c>
      <c r="C105" s="7">
        <f>MIN(Table1[[#This Row],[per_person]],64)*Table1[[#This Row],[truncate_num]]</f>
        <v>2432</v>
      </c>
      <c r="D105" s="8">
        <v>12</v>
      </c>
      <c r="E105" s="8">
        <v>12</v>
      </c>
      <c r="F105" s="95" t="s">
        <v>34</v>
      </c>
      <c r="G105" s="97" t="s">
        <v>38</v>
      </c>
      <c r="H105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05" s="5">
        <v>300</v>
      </c>
      <c r="J105" s="5" t="b">
        <v>0</v>
      </c>
      <c r="K105" s="5" t="s">
        <v>19</v>
      </c>
      <c r="L105" s="10">
        <f>MIN(Table1[[#This Row],[Features]],Table1[[#This Row],[components]])</f>
        <v>300</v>
      </c>
      <c r="M105" s="79" t="b">
        <v>0</v>
      </c>
      <c r="N105" s="80">
        <v>21</v>
      </c>
      <c r="O105" s="80" t="b">
        <v>0</v>
      </c>
      <c r="P105" s="81">
        <v>2</v>
      </c>
      <c r="Q105" s="10">
        <v>4.7619047619047603E-2</v>
      </c>
      <c r="R105" s="10">
        <v>0.27939999999999998</v>
      </c>
      <c r="S105" s="10" t="s">
        <v>17</v>
      </c>
      <c r="T105" s="28">
        <v>0.94595744680851002</v>
      </c>
      <c r="U105" s="28">
        <v>0.98325974392188098</v>
      </c>
      <c r="V105" s="28">
        <v>0.94091780780610901</v>
      </c>
      <c r="W105" s="28"/>
      <c r="X105" s="28"/>
      <c r="Y105" s="28"/>
    </row>
    <row r="106" spans="1:25" x14ac:dyDescent="0.3">
      <c r="A106" s="12">
        <v>38</v>
      </c>
      <c r="B106" s="12" t="s">
        <v>16</v>
      </c>
      <c r="C106" s="13">
        <f>MIN(Table1[[#This Row],[per_person]],64)*Table1[[#This Row],[truncate_num]]</f>
        <v>2432</v>
      </c>
      <c r="D106" s="11">
        <v>12</v>
      </c>
      <c r="E106" s="11">
        <v>12</v>
      </c>
      <c r="F106" s="11" t="s">
        <v>34</v>
      </c>
      <c r="G106" s="41" t="s">
        <v>38</v>
      </c>
      <c r="H106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06" s="14">
        <v>300</v>
      </c>
      <c r="J106" s="14" t="b">
        <v>0</v>
      </c>
      <c r="K106" s="14" t="s">
        <v>19</v>
      </c>
      <c r="L106" s="39">
        <f>MIN(Table1[[#This Row],[Features]],Table1[[#This Row],[components]])</f>
        <v>300</v>
      </c>
      <c r="M106" s="76" t="b">
        <v>0</v>
      </c>
      <c r="N106" s="77">
        <v>1</v>
      </c>
      <c r="O106" s="77" t="b">
        <v>0</v>
      </c>
      <c r="P106" s="78">
        <v>32</v>
      </c>
      <c r="Q106" s="39">
        <v>5.63348050013226E-3</v>
      </c>
      <c r="R106" s="39">
        <v>0.95579999999999998</v>
      </c>
      <c r="S106" s="39" t="s">
        <v>17</v>
      </c>
      <c r="T106" s="28">
        <v>2.7659574468085001E-2</v>
      </c>
      <c r="U106" s="28">
        <v>8.7014078482477095E-2</v>
      </c>
      <c r="V106" s="28">
        <v>4.5763777483798999E-4</v>
      </c>
      <c r="W106" s="28"/>
      <c r="X106" s="28"/>
      <c r="Y106" s="28"/>
    </row>
    <row r="107" spans="1:25" x14ac:dyDescent="0.3">
      <c r="A107" s="6">
        <v>38</v>
      </c>
      <c r="B107" s="6" t="s">
        <v>16</v>
      </c>
      <c r="C107" s="7">
        <f>MIN(Table1[[#This Row],[per_person]],64)*Table1[[#This Row],[truncate_num]]</f>
        <v>2432</v>
      </c>
      <c r="D107" s="8">
        <v>12</v>
      </c>
      <c r="E107" s="8">
        <v>12</v>
      </c>
      <c r="F107" s="8" t="s">
        <v>34</v>
      </c>
      <c r="G107" s="42" t="s">
        <v>38</v>
      </c>
      <c r="H107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07" s="5">
        <v>300</v>
      </c>
      <c r="J107" s="5" t="b">
        <v>0</v>
      </c>
      <c r="K107" s="5" t="s">
        <v>19</v>
      </c>
      <c r="L107" s="10">
        <f>MIN(Table1[[#This Row],[Features]],Table1[[#This Row],[components]])</f>
        <v>300</v>
      </c>
      <c r="M107" s="79" t="b">
        <v>0</v>
      </c>
      <c r="N107" s="80">
        <v>160</v>
      </c>
      <c r="O107" s="80" t="b">
        <v>0</v>
      </c>
      <c r="P107" s="81">
        <v>8</v>
      </c>
      <c r="Q107" s="10">
        <v>1.2500000000000001E-2</v>
      </c>
      <c r="R107" s="10">
        <v>0.1176</v>
      </c>
      <c r="S107" s="10" t="s">
        <v>17</v>
      </c>
      <c r="T107" s="28">
        <v>0.55617021276595702</v>
      </c>
      <c r="U107" s="28">
        <v>0.64981243934672905</v>
      </c>
      <c r="V107" s="28">
        <v>0.22571960485652301</v>
      </c>
      <c r="W107" s="28"/>
      <c r="X107" s="28"/>
      <c r="Y107" s="28"/>
    </row>
    <row r="108" spans="1:25" x14ac:dyDescent="0.3">
      <c r="A108" s="12">
        <v>38</v>
      </c>
      <c r="B108" s="12" t="s">
        <v>16</v>
      </c>
      <c r="C108" s="13">
        <f>MIN(Table1[[#This Row],[per_person]],64)*Table1[[#This Row],[truncate_num]]</f>
        <v>2432</v>
      </c>
      <c r="D108" s="11">
        <v>12</v>
      </c>
      <c r="E108" s="11">
        <v>12</v>
      </c>
      <c r="F108" s="11" t="s">
        <v>34</v>
      </c>
      <c r="G108" s="41" t="s">
        <v>38</v>
      </c>
      <c r="H108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08" s="14">
        <v>300</v>
      </c>
      <c r="J108" s="14" t="b">
        <v>0</v>
      </c>
      <c r="K108" s="14" t="s">
        <v>19</v>
      </c>
      <c r="L108" s="39">
        <f>MIN(Table1[[#This Row],[Features]],Table1[[#This Row],[components]])</f>
        <v>300</v>
      </c>
      <c r="M108" s="76" t="b">
        <v>0</v>
      </c>
      <c r="N108" s="77">
        <v>200</v>
      </c>
      <c r="O108" s="77" t="b">
        <v>0</v>
      </c>
      <c r="P108" s="78">
        <v>16</v>
      </c>
      <c r="Q108" s="39">
        <v>7.8555424418811307E-3</v>
      </c>
      <c r="R108" s="39">
        <v>8.6800000000000002E-2</v>
      </c>
      <c r="S108" s="39" t="s">
        <v>17</v>
      </c>
      <c r="T108" s="28">
        <v>0.56468085106382904</v>
      </c>
      <c r="U108" s="28">
        <v>0.62924678750854701</v>
      </c>
      <c r="V108" s="28">
        <v>0.22814287328115701</v>
      </c>
      <c r="W108" s="28"/>
      <c r="X108" s="28"/>
      <c r="Y108" s="28"/>
    </row>
    <row r="109" spans="1:25" x14ac:dyDescent="0.3">
      <c r="A109" s="6">
        <v>38</v>
      </c>
      <c r="B109" s="6" t="s">
        <v>16</v>
      </c>
      <c r="C109" s="7">
        <f>MIN(Table1[[#This Row],[per_person]],64)*Table1[[#This Row],[truncate_num]]</f>
        <v>2432</v>
      </c>
      <c r="D109" s="95">
        <v>12</v>
      </c>
      <c r="E109" s="95">
        <v>12</v>
      </c>
      <c r="F109" s="8" t="s">
        <v>34</v>
      </c>
      <c r="G109" s="42" t="s">
        <v>38</v>
      </c>
      <c r="H109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09" s="5">
        <v>300</v>
      </c>
      <c r="J109" s="5" t="b">
        <v>0</v>
      </c>
      <c r="K109" s="5" t="s">
        <v>19</v>
      </c>
      <c r="L109" s="10">
        <f>MIN(Table1[[#This Row],[Features]],Table1[[#This Row],[components]])</f>
        <v>300</v>
      </c>
      <c r="M109" s="79" t="b">
        <v>0</v>
      </c>
      <c r="N109" s="80">
        <v>16</v>
      </c>
      <c r="O109" s="80" t="b">
        <v>0</v>
      </c>
      <c r="P109" s="81">
        <v>8</v>
      </c>
      <c r="Q109" s="10">
        <v>6.1186640165752502E-2</v>
      </c>
      <c r="R109" s="10">
        <v>0.51280000000000003</v>
      </c>
      <c r="S109" s="10" t="s">
        <v>17</v>
      </c>
      <c r="T109" s="28">
        <v>0.96255319148936103</v>
      </c>
      <c r="U109" s="28">
        <v>0.98929434448503895</v>
      </c>
      <c r="V109" s="28">
        <v>0.96076220024730297</v>
      </c>
      <c r="W109" s="28"/>
      <c r="X109" s="28"/>
      <c r="Y109" s="28"/>
    </row>
    <row r="110" spans="1:25" x14ac:dyDescent="0.3">
      <c r="A110" s="12">
        <v>38</v>
      </c>
      <c r="B110" s="12" t="s">
        <v>16</v>
      </c>
      <c r="C110" s="13">
        <f>MIN(Table1[[#This Row],[per_person]],64)*Table1[[#This Row],[truncate_num]]</f>
        <v>2432</v>
      </c>
      <c r="D110" s="11">
        <v>12</v>
      </c>
      <c r="E110" s="11">
        <v>12</v>
      </c>
      <c r="F110" s="11" t="s">
        <v>34</v>
      </c>
      <c r="G110" s="41" t="s">
        <v>38</v>
      </c>
      <c r="H110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10" s="14">
        <v>300</v>
      </c>
      <c r="J110" s="14" t="b">
        <v>0</v>
      </c>
      <c r="K110" s="14" t="s">
        <v>19</v>
      </c>
      <c r="L110" s="39">
        <f>MIN(Table1[[#This Row],[Features]],Table1[[#This Row],[components]])</f>
        <v>300</v>
      </c>
      <c r="M110" s="76" t="b">
        <v>0</v>
      </c>
      <c r="N110" s="77">
        <v>4</v>
      </c>
      <c r="O110" s="77" t="b">
        <v>0</v>
      </c>
      <c r="P110" s="78">
        <v>4</v>
      </c>
      <c r="Q110" s="39">
        <v>6.7973365203503E-2</v>
      </c>
      <c r="R110" s="39">
        <v>0.59419999999999995</v>
      </c>
      <c r="S110" s="39" t="s">
        <v>17</v>
      </c>
      <c r="T110" s="28">
        <v>0.10085106382978699</v>
      </c>
      <c r="U110" s="28">
        <v>0.26246070350695899</v>
      </c>
      <c r="V110" s="28">
        <v>2.9829265502779498E-3</v>
      </c>
      <c r="W110" s="28"/>
      <c r="X110" s="28"/>
      <c r="Y110" s="28"/>
    </row>
    <row r="111" spans="1:25" x14ac:dyDescent="0.3">
      <c r="A111" s="6">
        <v>38</v>
      </c>
      <c r="B111" s="6" t="s">
        <v>16</v>
      </c>
      <c r="C111" s="7">
        <f>MIN(Table1[[#This Row],[per_person]],64)*Table1[[#This Row],[truncate_num]]</f>
        <v>2432</v>
      </c>
      <c r="D111" s="8">
        <v>12</v>
      </c>
      <c r="E111" s="8">
        <v>12</v>
      </c>
      <c r="F111" s="8" t="s">
        <v>34</v>
      </c>
      <c r="G111" s="42" t="s">
        <v>38</v>
      </c>
      <c r="H111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11" s="5">
        <v>300</v>
      </c>
      <c r="J111" s="5" t="b">
        <v>0</v>
      </c>
      <c r="K111" s="5" t="s">
        <v>19</v>
      </c>
      <c r="L111" s="10">
        <f>MIN(Table1[[#This Row],[Features]],Table1[[#This Row],[components]])</f>
        <v>300</v>
      </c>
      <c r="M111" s="79" t="b">
        <v>0</v>
      </c>
      <c r="N111" s="80">
        <v>6</v>
      </c>
      <c r="O111" s="80" t="b">
        <v>0</v>
      </c>
      <c r="P111" s="81">
        <v>4</v>
      </c>
      <c r="Q111" s="10">
        <v>4.8055103186500699E-2</v>
      </c>
      <c r="R111" s="10">
        <v>0.56169999999999998</v>
      </c>
      <c r="S111" s="10" t="s">
        <v>17</v>
      </c>
      <c r="T111" s="28">
        <v>0.657872340425531</v>
      </c>
      <c r="U111" s="28">
        <v>0.82257359255210705</v>
      </c>
      <c r="V111" s="28">
        <v>0.352959636863722</v>
      </c>
      <c r="W111" s="28"/>
      <c r="X111" s="28"/>
      <c r="Y111" s="28"/>
    </row>
    <row r="112" spans="1:25" x14ac:dyDescent="0.3">
      <c r="A112" s="12">
        <v>38</v>
      </c>
      <c r="B112" s="12" t="s">
        <v>16</v>
      </c>
      <c r="C112" s="13">
        <f>MIN(Table1[[#This Row],[per_person]],64)*Table1[[#This Row],[truncate_num]]</f>
        <v>2432</v>
      </c>
      <c r="D112" s="11">
        <v>12</v>
      </c>
      <c r="E112" s="11">
        <v>12</v>
      </c>
      <c r="F112" s="94" t="s">
        <v>34</v>
      </c>
      <c r="G112" s="96" t="s">
        <v>38</v>
      </c>
      <c r="H112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12" s="14">
        <v>300</v>
      </c>
      <c r="J112" s="14" t="b">
        <v>0</v>
      </c>
      <c r="K112" s="14" t="s">
        <v>19</v>
      </c>
      <c r="L112" s="39">
        <f>MIN(Table1[[#This Row],[Features]],Table1[[#This Row],[components]])</f>
        <v>300</v>
      </c>
      <c r="M112" s="76" t="b">
        <v>0</v>
      </c>
      <c r="N112" s="77">
        <v>8</v>
      </c>
      <c r="O112" s="77" t="b">
        <v>0</v>
      </c>
      <c r="P112" s="78">
        <v>4</v>
      </c>
      <c r="Q112" s="39">
        <v>3.7416834369874502E-2</v>
      </c>
      <c r="R112" s="39">
        <v>0.53590000000000004</v>
      </c>
      <c r="S112" s="39" t="s">
        <v>17</v>
      </c>
      <c r="T112" s="28">
        <v>0.93276595744680801</v>
      </c>
      <c r="U112" s="28">
        <v>0.97122831216278205</v>
      </c>
      <c r="V112" s="28">
        <v>0.92269641578691797</v>
      </c>
      <c r="W112" s="28"/>
      <c r="X112" s="28"/>
      <c r="Y112" s="28"/>
    </row>
    <row r="113" spans="1:25" x14ac:dyDescent="0.3">
      <c r="A113" s="6">
        <v>38</v>
      </c>
      <c r="B113" s="6" t="s">
        <v>16</v>
      </c>
      <c r="C113" s="7">
        <f>MIN(Table1[[#This Row],[per_person]],64)*Table1[[#This Row],[truncate_num]]</f>
        <v>2432</v>
      </c>
      <c r="D113" s="95">
        <v>12</v>
      </c>
      <c r="E113" s="95">
        <v>12</v>
      </c>
      <c r="F113" s="8" t="s">
        <v>34</v>
      </c>
      <c r="G113" s="42" t="s">
        <v>38</v>
      </c>
      <c r="H113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13" s="5">
        <v>300</v>
      </c>
      <c r="J113" s="5" t="b">
        <v>0</v>
      </c>
      <c r="K113" s="5" t="s">
        <v>19</v>
      </c>
      <c r="L113" s="10">
        <f>MIN(Table1[[#This Row],[Features]],Table1[[#This Row],[components]])</f>
        <v>300</v>
      </c>
      <c r="M113" s="79" t="b">
        <v>0</v>
      </c>
      <c r="N113" s="80">
        <v>16</v>
      </c>
      <c r="O113" s="80" t="b">
        <v>0</v>
      </c>
      <c r="P113" s="81">
        <v>4</v>
      </c>
      <c r="Q113" s="10">
        <v>4.0732269268087901E-2</v>
      </c>
      <c r="R113" s="10">
        <v>0.48570000000000002</v>
      </c>
      <c r="S113" s="10" t="s">
        <v>17</v>
      </c>
      <c r="T113" s="28">
        <v>0.97574468085106303</v>
      </c>
      <c r="U113" s="28">
        <v>0.98979223552934403</v>
      </c>
      <c r="V113" s="28">
        <v>0.96801700513325495</v>
      </c>
      <c r="W113" s="32"/>
      <c r="X113" s="32"/>
      <c r="Y113" s="32"/>
    </row>
    <row r="114" spans="1:25" x14ac:dyDescent="0.3">
      <c r="A114" s="12">
        <v>38</v>
      </c>
      <c r="B114" s="12" t="s">
        <v>16</v>
      </c>
      <c r="C114" s="13">
        <f>MIN(Table1[[#This Row],[per_person]],64)*Table1[[#This Row],[truncate_num]]</f>
        <v>2432</v>
      </c>
      <c r="D114" s="11">
        <v>12</v>
      </c>
      <c r="E114" s="11">
        <v>12</v>
      </c>
      <c r="F114" s="11" t="s">
        <v>34</v>
      </c>
      <c r="G114" s="41" t="s">
        <v>38</v>
      </c>
      <c r="H114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14" s="46">
        <v>300</v>
      </c>
      <c r="J114" s="14" t="b">
        <v>0</v>
      </c>
      <c r="K114" s="46" t="s">
        <v>19</v>
      </c>
      <c r="L114" s="39">
        <f>MIN(Table1[[#This Row],[Features]],Table1[[#This Row],[components]])</f>
        <v>300</v>
      </c>
      <c r="M114" s="76" t="b">
        <v>0</v>
      </c>
      <c r="N114" s="77">
        <v>32</v>
      </c>
      <c r="O114" s="77" t="b">
        <v>0</v>
      </c>
      <c r="P114" s="78">
        <v>4</v>
      </c>
      <c r="Q114" s="39">
        <v>4.79722429970574E-2</v>
      </c>
      <c r="R114" s="39">
        <v>0.4264</v>
      </c>
      <c r="S114" s="39" t="s">
        <v>17</v>
      </c>
      <c r="T114" s="28">
        <v>0.99787234042553197</v>
      </c>
      <c r="U114" s="28">
        <v>0.99695112729703605</v>
      </c>
      <c r="V114" s="28">
        <v>0.99549151746959996</v>
      </c>
      <c r="W114" s="32"/>
      <c r="X114" s="32"/>
      <c r="Y114" s="32"/>
    </row>
    <row r="115" spans="1:25" x14ac:dyDescent="0.3">
      <c r="A115" s="6">
        <v>38</v>
      </c>
      <c r="B115" s="6" t="s">
        <v>16</v>
      </c>
      <c r="C115" s="7">
        <f>MIN(Table1[[#This Row],[per_person]],64)*Table1[[#This Row],[truncate_num]]</f>
        <v>2432</v>
      </c>
      <c r="D115" s="8">
        <v>12</v>
      </c>
      <c r="E115" s="8">
        <v>12</v>
      </c>
      <c r="F115" s="95" t="s">
        <v>34</v>
      </c>
      <c r="G115" s="97" t="s">
        <v>38</v>
      </c>
      <c r="H115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15" s="5">
        <v>300</v>
      </c>
      <c r="J115" s="5" t="b">
        <v>0</v>
      </c>
      <c r="K115" s="5" t="s">
        <v>19</v>
      </c>
      <c r="L115" s="10">
        <f>MIN(Table1[[#This Row],[Features]],Table1[[#This Row],[components]])</f>
        <v>300</v>
      </c>
      <c r="M115" s="79" t="b">
        <v>0</v>
      </c>
      <c r="N115" s="80">
        <v>8</v>
      </c>
      <c r="O115" s="80" t="b">
        <v>0</v>
      </c>
      <c r="P115" s="81">
        <v>16</v>
      </c>
      <c r="Q115" s="10">
        <v>2.1750462613767299E-2</v>
      </c>
      <c r="R115" s="10">
        <v>0.6754</v>
      </c>
      <c r="S115" s="10" t="s">
        <v>17</v>
      </c>
      <c r="T115" s="28">
        <v>0.93404255319148899</v>
      </c>
      <c r="U115" s="28">
        <v>0.98092295768218096</v>
      </c>
      <c r="V115" s="28">
        <v>0.93218013049786097</v>
      </c>
      <c r="W115" s="28"/>
      <c r="X115" s="28"/>
      <c r="Y115" s="28"/>
    </row>
    <row r="116" spans="1:25" x14ac:dyDescent="0.3">
      <c r="A116" s="12">
        <v>38</v>
      </c>
      <c r="B116" s="12" t="s">
        <v>16</v>
      </c>
      <c r="C116" s="13">
        <f>MIN(Table1[[#This Row],[per_person]],64)*Table1[[#This Row],[truncate_num]]</f>
        <v>2432</v>
      </c>
      <c r="D116" s="11">
        <v>12</v>
      </c>
      <c r="E116" s="11">
        <v>12</v>
      </c>
      <c r="F116" s="11" t="s">
        <v>34</v>
      </c>
      <c r="G116" s="41" t="s">
        <v>38</v>
      </c>
      <c r="H116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16" s="14">
        <v>300</v>
      </c>
      <c r="J116" s="14" t="b">
        <v>0</v>
      </c>
      <c r="K116" s="14" t="s">
        <v>19</v>
      </c>
      <c r="L116" s="39">
        <f>MIN(Table1[[#This Row],[Features]],Table1[[#This Row],[components]])</f>
        <v>300</v>
      </c>
      <c r="M116" s="76" t="b">
        <v>0</v>
      </c>
      <c r="N116" s="77">
        <v>200</v>
      </c>
      <c r="O116" s="77" t="b">
        <v>0</v>
      </c>
      <c r="P116" s="78">
        <v>3</v>
      </c>
      <c r="Q116" s="39">
        <v>0.01</v>
      </c>
      <c r="R116" s="39">
        <v>0.22539999999999999</v>
      </c>
      <c r="S116" s="39" t="s">
        <v>17</v>
      </c>
      <c r="T116" s="28">
        <v>0.69617021276595703</v>
      </c>
      <c r="U116" s="28">
        <v>0.77437246447124097</v>
      </c>
      <c r="V116" s="28">
        <v>0.41726840877411198</v>
      </c>
      <c r="W116" s="28"/>
      <c r="X116" s="28"/>
      <c r="Y116" s="28"/>
    </row>
    <row r="117" spans="1:25" x14ac:dyDescent="0.3">
      <c r="A117" s="6">
        <v>38</v>
      </c>
      <c r="B117" s="6" t="s">
        <v>16</v>
      </c>
      <c r="C117" s="7">
        <f>MIN(Table1[[#This Row],[per_person]],64)*Table1[[#This Row],[truncate_num]]</f>
        <v>2432</v>
      </c>
      <c r="D117" s="8">
        <v>12</v>
      </c>
      <c r="E117" s="8">
        <v>12</v>
      </c>
      <c r="F117" s="8" t="s">
        <v>34</v>
      </c>
      <c r="G117" s="42" t="s">
        <v>38</v>
      </c>
      <c r="H117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17" s="5">
        <v>300</v>
      </c>
      <c r="J117" s="5" t="b">
        <v>0</v>
      </c>
      <c r="K117" s="5" t="s">
        <v>19</v>
      </c>
      <c r="L117" s="10">
        <f>MIN(Table1[[#This Row],[Features]],Table1[[#This Row],[components]])</f>
        <v>300</v>
      </c>
      <c r="M117" s="79" t="b">
        <v>0</v>
      </c>
      <c r="N117" s="80">
        <v>4</v>
      </c>
      <c r="O117" s="80" t="b">
        <v>0</v>
      </c>
      <c r="P117" s="81">
        <v>350</v>
      </c>
      <c r="Q117" s="10">
        <v>1.6867170135339399E-4</v>
      </c>
      <c r="R117" s="10">
        <v>0.85970000000000002</v>
      </c>
      <c r="S117" s="10" t="s">
        <v>17</v>
      </c>
      <c r="T117" s="28">
        <v>0.92978723404255303</v>
      </c>
      <c r="U117" s="28">
        <v>0.98029495635161801</v>
      </c>
      <c r="V117" s="28">
        <v>0.92779300444938595</v>
      </c>
      <c r="W117" s="28"/>
      <c r="X117" s="28"/>
      <c r="Y117" s="28"/>
    </row>
    <row r="118" spans="1:25" x14ac:dyDescent="0.3">
      <c r="A118" s="12">
        <v>38</v>
      </c>
      <c r="B118" s="12" t="s">
        <v>16</v>
      </c>
      <c r="C118" s="13">
        <f>MIN(Table1[[#This Row],[per_person]],64)*Table1[[#This Row],[truncate_num]]</f>
        <v>2432</v>
      </c>
      <c r="D118" s="11">
        <v>12</v>
      </c>
      <c r="E118" s="11">
        <v>12</v>
      </c>
      <c r="F118" s="11" t="s">
        <v>34</v>
      </c>
      <c r="G118" s="41" t="s">
        <v>38</v>
      </c>
      <c r="H118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18" s="14">
        <v>300</v>
      </c>
      <c r="J118" s="14" t="b">
        <v>0</v>
      </c>
      <c r="K118" s="14" t="s">
        <v>19</v>
      </c>
      <c r="L118" s="39">
        <f>MIN(Table1[[#This Row],[Features]],Table1[[#This Row],[components]])</f>
        <v>300</v>
      </c>
      <c r="M118" s="76" t="b">
        <v>0</v>
      </c>
      <c r="N118" s="77">
        <v>100</v>
      </c>
      <c r="O118" s="77" t="b">
        <v>0</v>
      </c>
      <c r="P118" s="78">
        <v>128</v>
      </c>
      <c r="Q118" s="39">
        <v>3.7310582858025501E-4</v>
      </c>
      <c r="R118" s="39">
        <v>0.15579999999999999</v>
      </c>
      <c r="S118" s="39" t="s">
        <v>17</v>
      </c>
      <c r="T118" s="28">
        <v>0.50808510638297799</v>
      </c>
      <c r="U118" s="28">
        <v>0.62565629023445402</v>
      </c>
      <c r="V118" s="28">
        <v>0.134963028096409</v>
      </c>
      <c r="W118" s="28"/>
      <c r="X118" s="28"/>
      <c r="Y118" s="28"/>
    </row>
    <row r="119" spans="1:25" x14ac:dyDescent="0.3">
      <c r="A119" s="6">
        <v>38</v>
      </c>
      <c r="B119" s="6" t="s">
        <v>16</v>
      </c>
      <c r="C119" s="7">
        <f>MIN(Table1[[#This Row],[per_person]],64)*Table1[[#This Row],[truncate_num]]</f>
        <v>2432</v>
      </c>
      <c r="D119" s="8">
        <v>12</v>
      </c>
      <c r="E119" s="8">
        <v>12</v>
      </c>
      <c r="F119" s="8" t="s">
        <v>34</v>
      </c>
      <c r="G119" s="42" t="s">
        <v>38</v>
      </c>
      <c r="H119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19" s="5">
        <v>300</v>
      </c>
      <c r="J119" s="5" t="b">
        <v>0</v>
      </c>
      <c r="K119" s="5" t="s">
        <v>19</v>
      </c>
      <c r="L119" s="10">
        <f>MIN(Table1[[#This Row],[Features]],Table1[[#This Row],[components]])</f>
        <v>300</v>
      </c>
      <c r="M119" s="79" t="b">
        <v>0</v>
      </c>
      <c r="N119" s="80">
        <v>64</v>
      </c>
      <c r="O119" s="80" t="b">
        <v>0</v>
      </c>
      <c r="P119" s="81">
        <v>3000</v>
      </c>
      <c r="Q119" s="10">
        <v>2.301169501132E-8</v>
      </c>
      <c r="R119" s="10">
        <v>0.23780000000000001</v>
      </c>
      <c r="S119" s="10" t="s">
        <v>17</v>
      </c>
      <c r="T119" s="28">
        <v>0.52510638297872303</v>
      </c>
      <c r="U119" s="28">
        <v>0.62219777651001096</v>
      </c>
      <c r="V119" s="28">
        <v>0.119479101459223</v>
      </c>
      <c r="W119" s="28"/>
      <c r="X119" s="28"/>
      <c r="Y119" s="28"/>
    </row>
    <row r="120" spans="1:25" x14ac:dyDescent="0.3">
      <c r="A120" s="12">
        <v>38</v>
      </c>
      <c r="B120" s="12" t="s">
        <v>16</v>
      </c>
      <c r="C120" s="13">
        <f>MIN(Table1[[#This Row],[per_person]],64)*Table1[[#This Row],[truncate_num]]</f>
        <v>2432</v>
      </c>
      <c r="D120" s="11">
        <v>12</v>
      </c>
      <c r="E120" s="11">
        <v>12</v>
      </c>
      <c r="F120" s="11" t="s">
        <v>34</v>
      </c>
      <c r="G120" s="41" t="s">
        <v>38</v>
      </c>
      <c r="H120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20" s="14">
        <v>300</v>
      </c>
      <c r="J120" s="14" t="b">
        <v>0</v>
      </c>
      <c r="K120" s="14" t="s">
        <v>19</v>
      </c>
      <c r="L120" s="39">
        <f>MIN(Table1[[#This Row],[Features]],Table1[[#This Row],[components]])</f>
        <v>300</v>
      </c>
      <c r="M120" s="76" t="b">
        <v>0</v>
      </c>
      <c r="N120" s="77">
        <v>2</v>
      </c>
      <c r="O120" s="77" t="b">
        <v>0</v>
      </c>
      <c r="P120" s="78">
        <v>10000</v>
      </c>
      <c r="Q120" s="39">
        <v>1.57383E-15</v>
      </c>
      <c r="R120" s="39">
        <v>1</v>
      </c>
      <c r="S120" s="39" t="s">
        <v>17</v>
      </c>
      <c r="T120" s="28">
        <v>0.36042553191489302</v>
      </c>
      <c r="U120" s="28">
        <v>0.65568896727940196</v>
      </c>
      <c r="V120" s="28">
        <v>7.6868799208186206E-2</v>
      </c>
      <c r="W120" s="28"/>
      <c r="X120" s="28"/>
      <c r="Y120" s="28"/>
    </row>
    <row r="121" spans="1:25" x14ac:dyDescent="0.3">
      <c r="A121" s="6">
        <v>38</v>
      </c>
      <c r="B121" s="6" t="s">
        <v>16</v>
      </c>
      <c r="C121" s="7">
        <f>MIN(Table1[[#This Row],[per_person]],64)*Table1[[#This Row],[truncate_num]]</f>
        <v>2432</v>
      </c>
      <c r="D121" s="8">
        <v>12</v>
      </c>
      <c r="E121" s="8">
        <v>12</v>
      </c>
      <c r="F121" s="8" t="s">
        <v>34</v>
      </c>
      <c r="G121" s="42" t="s">
        <v>38</v>
      </c>
      <c r="H121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21" s="5">
        <v>300</v>
      </c>
      <c r="J121" s="5" t="b">
        <v>0</v>
      </c>
      <c r="K121" s="5" t="s">
        <v>19</v>
      </c>
      <c r="L121" s="10">
        <f>MIN(Table1[[#This Row],[Features]],Table1[[#This Row],[components]])</f>
        <v>300</v>
      </c>
      <c r="M121" s="79" t="b">
        <v>0</v>
      </c>
      <c r="N121" s="80">
        <v>1</v>
      </c>
      <c r="O121" s="80" t="b">
        <v>0</v>
      </c>
      <c r="P121" s="81">
        <v>90</v>
      </c>
      <c r="Q121" s="10">
        <v>1.32261463182204E-3</v>
      </c>
      <c r="R121" s="10">
        <v>0.98319999999999996</v>
      </c>
      <c r="S121" s="10" t="s">
        <v>17</v>
      </c>
      <c r="T121" s="28">
        <v>2.7659574468085001E-2</v>
      </c>
      <c r="U121" s="28">
        <v>8.7014078482477095E-2</v>
      </c>
      <c r="V121" s="28">
        <v>4.5763777483798999E-4</v>
      </c>
      <c r="W121" s="28"/>
      <c r="X121" s="28"/>
      <c r="Y121" s="28"/>
    </row>
    <row r="122" spans="1:25" x14ac:dyDescent="0.3">
      <c r="A122" s="12">
        <v>38</v>
      </c>
      <c r="B122" s="12" t="s">
        <v>16</v>
      </c>
      <c r="C122" s="13">
        <f>MIN(Table1[[#This Row],[per_person]],64)*Table1[[#This Row],[truncate_num]]</f>
        <v>2432</v>
      </c>
      <c r="D122" s="11">
        <v>12</v>
      </c>
      <c r="E122" s="11">
        <v>12</v>
      </c>
      <c r="F122" s="11" t="s">
        <v>34</v>
      </c>
      <c r="G122" s="41" t="s">
        <v>38</v>
      </c>
      <c r="H122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22" s="14">
        <v>300</v>
      </c>
      <c r="J122" s="14" t="b">
        <v>0</v>
      </c>
      <c r="K122" s="14" t="s">
        <v>19</v>
      </c>
      <c r="L122" s="39">
        <f>MIN(Table1[[#This Row],[Features]],Table1[[#This Row],[components]])</f>
        <v>300</v>
      </c>
      <c r="M122" s="76" t="b">
        <v>0</v>
      </c>
      <c r="N122" s="77">
        <v>2</v>
      </c>
      <c r="O122" s="77" t="b">
        <v>0</v>
      </c>
      <c r="P122" s="78">
        <v>200</v>
      </c>
      <c r="Q122" s="39">
        <v>4.3699889830819201E-4</v>
      </c>
      <c r="R122" s="39">
        <v>0.99109999999999998</v>
      </c>
      <c r="S122" s="39" t="s">
        <v>17</v>
      </c>
      <c r="T122" s="28">
        <v>0.30085106382978699</v>
      </c>
      <c r="U122" s="28">
        <v>0.57957337254580399</v>
      </c>
      <c r="V122" s="28">
        <v>4.8007177780615098E-2</v>
      </c>
      <c r="W122" s="28"/>
      <c r="X122" s="28"/>
      <c r="Y122" s="28"/>
    </row>
    <row r="123" spans="1:25" x14ac:dyDescent="0.3">
      <c r="A123" s="6">
        <v>38</v>
      </c>
      <c r="B123" s="6" t="s">
        <v>16</v>
      </c>
      <c r="C123" s="7">
        <f>MIN(Table1[[#This Row],[per_person]],64)*Table1[[#This Row],[truncate_num]]</f>
        <v>2432</v>
      </c>
      <c r="D123" s="8">
        <v>12</v>
      </c>
      <c r="E123" s="8">
        <v>12</v>
      </c>
      <c r="F123" s="8" t="s">
        <v>34</v>
      </c>
      <c r="G123" s="42" t="s">
        <v>38</v>
      </c>
      <c r="H123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23" s="5">
        <v>300</v>
      </c>
      <c r="J123" s="5" t="b">
        <v>0</v>
      </c>
      <c r="K123" s="5" t="s">
        <v>19</v>
      </c>
      <c r="L123" s="10">
        <f>MIN(Table1[[#This Row],[Features]],Table1[[#This Row],[components]])</f>
        <v>300</v>
      </c>
      <c r="M123" s="79" t="b">
        <v>0</v>
      </c>
      <c r="N123" s="80">
        <v>100</v>
      </c>
      <c r="O123" s="80" t="b">
        <v>0</v>
      </c>
      <c r="P123" s="81">
        <v>8</v>
      </c>
      <c r="Q123" s="10">
        <v>1.8355106171836499E-2</v>
      </c>
      <c r="R123" s="10">
        <v>0.17680000000000001</v>
      </c>
      <c r="S123" s="10" t="s">
        <v>17</v>
      </c>
      <c r="T123" s="28">
        <v>0.63659574468085101</v>
      </c>
      <c r="U123" s="28">
        <v>0.73557537012903595</v>
      </c>
      <c r="V123" s="28">
        <v>0.18429385784521099</v>
      </c>
      <c r="W123" s="28"/>
      <c r="X123" s="28"/>
      <c r="Y123" s="28"/>
    </row>
    <row r="124" spans="1:25" x14ac:dyDescent="0.3">
      <c r="A124" s="12">
        <v>38</v>
      </c>
      <c r="B124" s="12" t="s">
        <v>16</v>
      </c>
      <c r="C124" s="13">
        <f>MIN(Table1[[#This Row],[per_person]],64)*Table1[[#This Row],[truncate_num]]</f>
        <v>2432</v>
      </c>
      <c r="D124" s="11">
        <v>12</v>
      </c>
      <c r="E124" s="11">
        <v>12</v>
      </c>
      <c r="F124" s="11" t="s">
        <v>34</v>
      </c>
      <c r="G124" s="41" t="s">
        <v>38</v>
      </c>
      <c r="H124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24" s="14">
        <v>300</v>
      </c>
      <c r="J124" s="14" t="b">
        <v>0</v>
      </c>
      <c r="K124" s="14" t="s">
        <v>19</v>
      </c>
      <c r="L124" s="39">
        <f>MIN(Table1[[#This Row],[Features]],Table1[[#This Row],[components]])</f>
        <v>300</v>
      </c>
      <c r="M124" s="76" t="b">
        <v>0</v>
      </c>
      <c r="N124" s="77">
        <v>50</v>
      </c>
      <c r="O124" s="77" t="b">
        <v>0</v>
      </c>
      <c r="P124" s="78">
        <v>8</v>
      </c>
      <c r="Q124" s="39">
        <v>3.2056949375301701E-2</v>
      </c>
      <c r="R124" s="39">
        <v>0.31040000000000001</v>
      </c>
      <c r="S124" s="39" t="s">
        <v>17</v>
      </c>
      <c r="T124" s="28">
        <v>0.65872340425531895</v>
      </c>
      <c r="U124" s="28">
        <v>0.74612326934567397</v>
      </c>
      <c r="V124" s="28">
        <v>0.21798467029765101</v>
      </c>
      <c r="W124" s="28"/>
      <c r="X124" s="28"/>
      <c r="Y124" s="28"/>
    </row>
    <row r="125" spans="1:25" x14ac:dyDescent="0.3">
      <c r="A125" s="6">
        <v>38</v>
      </c>
      <c r="B125" s="6" t="s">
        <v>16</v>
      </c>
      <c r="C125" s="7">
        <f>MIN(Table1[[#This Row],[per_person]],64)*Table1[[#This Row],[truncate_num]]</f>
        <v>2432</v>
      </c>
      <c r="D125" s="8">
        <v>12</v>
      </c>
      <c r="E125" s="8">
        <v>12</v>
      </c>
      <c r="F125" s="8" t="s">
        <v>34</v>
      </c>
      <c r="G125" s="42" t="s">
        <v>38</v>
      </c>
      <c r="H125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25" s="5">
        <v>300</v>
      </c>
      <c r="J125" s="5" t="b">
        <v>0</v>
      </c>
      <c r="K125" s="5" t="s">
        <v>19</v>
      </c>
      <c r="L125" s="10">
        <f>MIN(Table1[[#This Row],[Features]],Table1[[#This Row],[components]])</f>
        <v>300</v>
      </c>
      <c r="M125" s="79" t="b">
        <v>0</v>
      </c>
      <c r="N125" s="80">
        <v>25</v>
      </c>
      <c r="O125" s="80" t="b">
        <v>0</v>
      </c>
      <c r="P125" s="81">
        <v>8</v>
      </c>
      <c r="Q125" s="10">
        <v>4.8418315926655298E-2</v>
      </c>
      <c r="R125" s="10">
        <v>0.45040000000000002</v>
      </c>
      <c r="S125" s="10" t="s">
        <v>17</v>
      </c>
      <c r="T125" s="28">
        <v>0.89744680851063796</v>
      </c>
      <c r="U125" s="28">
        <v>0.93520907488398597</v>
      </c>
      <c r="V125" s="28">
        <v>0.80886343411681505</v>
      </c>
      <c r="W125" s="28"/>
      <c r="X125" s="28"/>
      <c r="Y125" s="28"/>
    </row>
    <row r="126" spans="1:25" x14ac:dyDescent="0.3">
      <c r="A126" s="12">
        <v>38</v>
      </c>
      <c r="B126" s="12" t="s">
        <v>16</v>
      </c>
      <c r="C126" s="13">
        <f>MIN(Table1[[#This Row],[per_person]],64)*Table1[[#This Row],[truncate_num]]</f>
        <v>2432</v>
      </c>
      <c r="D126" s="11">
        <v>12</v>
      </c>
      <c r="E126" s="11">
        <v>12</v>
      </c>
      <c r="F126" s="94" t="s">
        <v>34</v>
      </c>
      <c r="G126" s="96" t="s">
        <v>38</v>
      </c>
      <c r="H126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26" s="14">
        <v>300</v>
      </c>
      <c r="J126" s="14" t="b">
        <v>0</v>
      </c>
      <c r="K126" s="14" t="s">
        <v>19</v>
      </c>
      <c r="L126" s="39">
        <f>MIN(Table1[[#This Row],[Features]],Table1[[#This Row],[components]])</f>
        <v>300</v>
      </c>
      <c r="M126" s="76" t="b">
        <v>0</v>
      </c>
      <c r="N126" s="77">
        <v>10</v>
      </c>
      <c r="O126" s="77" t="b">
        <v>0</v>
      </c>
      <c r="P126" s="78">
        <v>30</v>
      </c>
      <c r="Q126" s="39">
        <v>5.9684199686172402E-3</v>
      </c>
      <c r="R126" s="39">
        <v>0.67430000000000001</v>
      </c>
      <c r="S126" s="39" t="s">
        <v>17</v>
      </c>
      <c r="T126" s="28">
        <v>0.94127659574468003</v>
      </c>
      <c r="U126" s="28">
        <v>0.98295880388069201</v>
      </c>
      <c r="V126" s="28">
        <v>0.93694162104283696</v>
      </c>
      <c r="W126" s="28"/>
      <c r="X126" s="28"/>
      <c r="Y126" s="28"/>
    </row>
    <row r="127" spans="1:25" x14ac:dyDescent="0.3">
      <c r="A127" s="6">
        <v>38</v>
      </c>
      <c r="B127" s="6" t="s">
        <v>16</v>
      </c>
      <c r="C127" s="7">
        <f>MIN(Table1[[#This Row],[per_person]],64)*Table1[[#This Row],[truncate_num]]</f>
        <v>2432</v>
      </c>
      <c r="D127" s="8">
        <v>12</v>
      </c>
      <c r="E127" s="8">
        <v>12</v>
      </c>
      <c r="F127" s="8" t="s">
        <v>34</v>
      </c>
      <c r="G127" s="42" t="s">
        <v>38</v>
      </c>
      <c r="H127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27" s="5">
        <v>300</v>
      </c>
      <c r="J127" s="5" t="b">
        <v>0</v>
      </c>
      <c r="K127" s="5" t="s">
        <v>19</v>
      </c>
      <c r="L127" s="10">
        <f>MIN(Table1[[#This Row],[Features]],Table1[[#This Row],[components]])</f>
        <v>300</v>
      </c>
      <c r="M127" s="79" t="b">
        <v>0</v>
      </c>
      <c r="N127" s="80">
        <v>50</v>
      </c>
      <c r="O127" s="80" t="b">
        <v>0</v>
      </c>
      <c r="P127" s="81">
        <v>11</v>
      </c>
      <c r="Q127" s="10">
        <v>2.2726042441156401E-2</v>
      </c>
      <c r="R127" s="10">
        <v>0.3034</v>
      </c>
      <c r="S127" s="10" t="s">
        <v>17</v>
      </c>
      <c r="T127" s="28">
        <v>0.58765957446808503</v>
      </c>
      <c r="U127" s="28">
        <v>0.68844854948087097</v>
      </c>
      <c r="V127" s="28">
        <v>0.112370715828756</v>
      </c>
      <c r="W127" s="28"/>
      <c r="X127" s="28"/>
      <c r="Y127" s="28"/>
    </row>
    <row r="128" spans="1:25" x14ac:dyDescent="0.3">
      <c r="A128" s="12">
        <v>38</v>
      </c>
      <c r="B128" s="12" t="s">
        <v>16</v>
      </c>
      <c r="C128" s="13">
        <f>MIN(Table1[[#This Row],[per_person]],64)*Table1[[#This Row],[truncate_num]]</f>
        <v>2432</v>
      </c>
      <c r="D128" s="11">
        <v>12</v>
      </c>
      <c r="E128" s="11">
        <v>12</v>
      </c>
      <c r="F128" s="11" t="s">
        <v>34</v>
      </c>
      <c r="G128" s="41" t="s">
        <v>38</v>
      </c>
      <c r="H128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28" s="14">
        <v>300</v>
      </c>
      <c r="J128" s="14" t="b">
        <v>0</v>
      </c>
      <c r="K128" s="14" t="s">
        <v>19</v>
      </c>
      <c r="L128" s="39">
        <f>MIN(Table1[[#This Row],[Features]],Table1[[#This Row],[components]])</f>
        <v>300</v>
      </c>
      <c r="M128" s="76" t="b">
        <v>0</v>
      </c>
      <c r="N128" s="77">
        <v>150</v>
      </c>
      <c r="O128" s="77" t="b">
        <v>0</v>
      </c>
      <c r="P128" s="78">
        <v>45</v>
      </c>
      <c r="Q128" s="39">
        <v>4.9237208556221204E-3</v>
      </c>
      <c r="R128" s="39">
        <v>0.1062</v>
      </c>
      <c r="S128" s="39" t="s">
        <v>17</v>
      </c>
      <c r="T128" s="28">
        <v>0.55744680851063799</v>
      </c>
      <c r="U128" s="28">
        <v>0.64437223316147796</v>
      </c>
      <c r="V128" s="28">
        <v>0.189624343915305</v>
      </c>
      <c r="W128" s="28"/>
      <c r="X128" s="28"/>
      <c r="Y128" s="28"/>
    </row>
    <row r="129" spans="1:25" x14ac:dyDescent="0.3">
      <c r="A129" s="6">
        <v>38</v>
      </c>
      <c r="B129" s="6" t="s">
        <v>16</v>
      </c>
      <c r="C129" s="7">
        <f>MIN(Table1[[#This Row],[per_person]],64)*Table1[[#This Row],[truncate_num]]</f>
        <v>2432</v>
      </c>
      <c r="D129" s="8">
        <v>12</v>
      </c>
      <c r="E129" s="8">
        <v>12</v>
      </c>
      <c r="F129" s="8" t="s">
        <v>34</v>
      </c>
      <c r="G129" s="42" t="s">
        <v>38</v>
      </c>
      <c r="H129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29" s="5">
        <v>300</v>
      </c>
      <c r="J129" s="5" t="b">
        <v>0</v>
      </c>
      <c r="K129" s="5" t="s">
        <v>19</v>
      </c>
      <c r="L129" s="10">
        <f>MIN(Table1[[#This Row],[Features]],Table1[[#This Row],[components]])</f>
        <v>300</v>
      </c>
      <c r="M129" s="79" t="b">
        <v>0</v>
      </c>
      <c r="N129" s="80">
        <v>200</v>
      </c>
      <c r="O129" s="80" t="b">
        <v>0</v>
      </c>
      <c r="P129" s="81">
        <v>5000</v>
      </c>
      <c r="Q129" s="10">
        <v>3.9825703488510003E-8</v>
      </c>
      <c r="R129" s="10">
        <v>7.8600000000000003E-2</v>
      </c>
      <c r="S129" s="10" t="s">
        <v>17</v>
      </c>
      <c r="T129" s="28">
        <v>0.50638297872340399</v>
      </c>
      <c r="U129" s="28">
        <v>0.61865953689511</v>
      </c>
      <c r="V129" s="28">
        <v>0.13041485734354999</v>
      </c>
      <c r="W129" s="28"/>
      <c r="X129" s="28"/>
      <c r="Y129" s="28"/>
    </row>
    <row r="130" spans="1:25" x14ac:dyDescent="0.3">
      <c r="A130" s="12">
        <v>38</v>
      </c>
      <c r="B130" s="12" t="s">
        <v>16</v>
      </c>
      <c r="C130" s="13">
        <f>MIN(Table1[[#This Row],[per_person]],64)*Table1[[#This Row],[truncate_num]]</f>
        <v>2432</v>
      </c>
      <c r="D130" s="94">
        <v>12</v>
      </c>
      <c r="E130" s="94">
        <v>12</v>
      </c>
      <c r="F130" s="11" t="s">
        <v>34</v>
      </c>
      <c r="G130" s="41" t="s">
        <v>38</v>
      </c>
      <c r="H130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30" s="14">
        <v>300</v>
      </c>
      <c r="J130" s="14" t="b">
        <v>0</v>
      </c>
      <c r="K130" s="14" t="s">
        <v>19</v>
      </c>
      <c r="L130" s="39">
        <f>MIN(Table1[[#This Row],[Features]],Table1[[#This Row],[components]])</f>
        <v>300</v>
      </c>
      <c r="M130" s="76" t="b">
        <v>0</v>
      </c>
      <c r="N130" s="77">
        <v>4</v>
      </c>
      <c r="O130" s="77" t="b">
        <v>0</v>
      </c>
      <c r="P130" s="78">
        <v>2500</v>
      </c>
      <c r="Q130" s="39">
        <v>2.7713017380047E-7</v>
      </c>
      <c r="R130" s="39">
        <v>0.85899999999999999</v>
      </c>
      <c r="S130" s="39" t="s">
        <v>17</v>
      </c>
      <c r="T130" s="28">
        <v>0.96255319148936103</v>
      </c>
      <c r="U130" s="28">
        <v>0.98748608167282004</v>
      </c>
      <c r="V130" s="28">
        <v>0.95862722843823001</v>
      </c>
      <c r="W130" s="28"/>
      <c r="X130" s="28"/>
      <c r="Y130" s="28"/>
    </row>
    <row r="131" spans="1:25" x14ac:dyDescent="0.3">
      <c r="A131" s="6">
        <v>38</v>
      </c>
      <c r="B131" s="6" t="s">
        <v>16</v>
      </c>
      <c r="C131" s="7">
        <f>MIN(Table1[[#This Row],[per_person]],64)*Table1[[#This Row],[truncate_num]]</f>
        <v>2432</v>
      </c>
      <c r="D131" s="8">
        <v>12</v>
      </c>
      <c r="E131" s="8">
        <v>12</v>
      </c>
      <c r="F131" s="8" t="s">
        <v>34</v>
      </c>
      <c r="G131" s="42" t="s">
        <v>38</v>
      </c>
      <c r="H131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31" s="5">
        <v>300</v>
      </c>
      <c r="J131" s="5" t="b">
        <v>0</v>
      </c>
      <c r="K131" s="5" t="s">
        <v>19</v>
      </c>
      <c r="L131" s="10">
        <f>MIN(Table1[[#This Row],[Features]],Table1[[#This Row],[components]])</f>
        <v>300</v>
      </c>
      <c r="M131" s="79" t="b">
        <v>0</v>
      </c>
      <c r="N131" s="80">
        <v>64</v>
      </c>
      <c r="O131" s="80" t="b">
        <v>0</v>
      </c>
      <c r="P131" s="81">
        <v>16000</v>
      </c>
      <c r="Q131" s="10">
        <v>8.7864000000000001E-16</v>
      </c>
      <c r="R131" s="10">
        <v>0.23780000000000001</v>
      </c>
      <c r="S131" s="10" t="s">
        <v>17</v>
      </c>
      <c r="T131" s="28">
        <v>0.55106382978723401</v>
      </c>
      <c r="U131" s="28">
        <v>0.62905233749290002</v>
      </c>
      <c r="V131" s="28">
        <v>0.123777352884029</v>
      </c>
      <c r="W131" s="28"/>
      <c r="X131" s="28"/>
      <c r="Y131" s="28"/>
    </row>
    <row r="132" spans="1:25" x14ac:dyDescent="0.3">
      <c r="A132" s="12">
        <v>38</v>
      </c>
      <c r="B132" s="12" t="s">
        <v>16</v>
      </c>
      <c r="C132" s="13">
        <f>MIN(Table1[[#This Row],[per_person]],64)*Table1[[#This Row],[truncate_num]]</f>
        <v>2432</v>
      </c>
      <c r="D132" s="94">
        <v>12</v>
      </c>
      <c r="E132" s="94">
        <v>12</v>
      </c>
      <c r="F132" s="11" t="s">
        <v>34</v>
      </c>
      <c r="G132" s="41" t="s">
        <v>38</v>
      </c>
      <c r="H132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32" s="14">
        <v>300</v>
      </c>
      <c r="J132" s="14" t="b">
        <v>0</v>
      </c>
      <c r="K132" s="14" t="s">
        <v>19</v>
      </c>
      <c r="L132" s="39">
        <f>MIN(Table1[[#This Row],[Features]],Table1[[#This Row],[components]])</f>
        <v>300</v>
      </c>
      <c r="M132" s="76" t="b">
        <v>0</v>
      </c>
      <c r="N132" s="77">
        <v>8</v>
      </c>
      <c r="O132" s="77" t="b">
        <v>0</v>
      </c>
      <c r="P132" s="78">
        <v>23</v>
      </c>
      <c r="Q132" s="39">
        <v>1.0566502102954E-2</v>
      </c>
      <c r="R132" s="39">
        <v>0.70009999999999994</v>
      </c>
      <c r="S132" s="39" t="s">
        <v>17</v>
      </c>
      <c r="T132" s="28">
        <v>0.95914893617021202</v>
      </c>
      <c r="U132" s="28">
        <v>0.984498658965411</v>
      </c>
      <c r="V132" s="28">
        <v>0.951451241442129</v>
      </c>
      <c r="W132" s="28"/>
      <c r="X132" s="28"/>
      <c r="Y132" s="28"/>
    </row>
    <row r="133" spans="1:25" x14ac:dyDescent="0.3">
      <c r="A133" s="6">
        <v>38</v>
      </c>
      <c r="B133" s="6" t="s">
        <v>16</v>
      </c>
      <c r="C133" s="7">
        <f>MIN(Table1[[#This Row],[per_person]],64)*Table1[[#This Row],[truncate_num]]</f>
        <v>2432</v>
      </c>
      <c r="D133" s="95">
        <v>12</v>
      </c>
      <c r="E133" s="95">
        <v>12</v>
      </c>
      <c r="F133" s="8" t="s">
        <v>34</v>
      </c>
      <c r="G133" s="42" t="s">
        <v>38</v>
      </c>
      <c r="H133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33" s="5">
        <v>300</v>
      </c>
      <c r="J133" s="5" t="b">
        <v>0</v>
      </c>
      <c r="K133" s="5" t="s">
        <v>19</v>
      </c>
      <c r="L133" s="10">
        <f>MIN(Table1[[#This Row],[Features]],Table1[[#This Row],[components]])</f>
        <v>300</v>
      </c>
      <c r="M133" s="79" t="b">
        <v>0</v>
      </c>
      <c r="N133" s="80">
        <v>16</v>
      </c>
      <c r="O133" s="80" t="b">
        <v>0</v>
      </c>
      <c r="P133" s="81">
        <v>6</v>
      </c>
      <c r="Q133" s="10">
        <v>5.2066603411316997E-2</v>
      </c>
      <c r="R133" s="10">
        <v>0.52229999999999999</v>
      </c>
      <c r="S133" s="10" t="s">
        <v>17</v>
      </c>
      <c r="T133" s="28">
        <v>0.96468085106382895</v>
      </c>
      <c r="U133" s="28">
        <v>0.98847687340238899</v>
      </c>
      <c r="V133" s="28">
        <v>0.96162611624108796</v>
      </c>
      <c r="W133" s="28"/>
      <c r="X133" s="28"/>
      <c r="Y133" s="28"/>
    </row>
    <row r="134" spans="1:25" x14ac:dyDescent="0.3">
      <c r="A134" s="12">
        <v>38</v>
      </c>
      <c r="B134" s="12" t="s">
        <v>16</v>
      </c>
      <c r="C134" s="13">
        <f>MIN(Table1[[#This Row],[per_person]],64)*Table1[[#This Row],[truncate_num]]</f>
        <v>2432</v>
      </c>
      <c r="D134" s="11">
        <v>12</v>
      </c>
      <c r="E134" s="11">
        <v>12</v>
      </c>
      <c r="F134" s="11" t="s">
        <v>34</v>
      </c>
      <c r="G134" s="41" t="s">
        <v>38</v>
      </c>
      <c r="H134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34" s="46">
        <v>300</v>
      </c>
      <c r="J134" s="14" t="b">
        <v>0</v>
      </c>
      <c r="K134" s="46" t="s">
        <v>19</v>
      </c>
      <c r="L134" s="39">
        <f>MIN(Table1[[#This Row],[Features]],Table1[[#This Row],[components]])</f>
        <v>300</v>
      </c>
      <c r="M134" s="76" t="b">
        <v>0</v>
      </c>
      <c r="N134" s="77">
        <v>20</v>
      </c>
      <c r="O134" s="77" t="b">
        <v>0</v>
      </c>
      <c r="P134" s="78">
        <v>6</v>
      </c>
      <c r="Q134" s="39">
        <v>5.8096730258740799E-2</v>
      </c>
      <c r="R134" s="39">
        <v>0.48830000000000001</v>
      </c>
      <c r="S134" s="39" t="s">
        <v>17</v>
      </c>
      <c r="T134" s="28">
        <v>0.99787234042553197</v>
      </c>
      <c r="U134" s="28">
        <v>0.99695112729703605</v>
      </c>
      <c r="V134" s="28">
        <v>0.99549151746959996</v>
      </c>
      <c r="W134" s="32"/>
      <c r="X134" s="32"/>
      <c r="Y134" s="32"/>
    </row>
    <row r="135" spans="1:25" x14ac:dyDescent="0.3">
      <c r="A135" s="6">
        <v>38</v>
      </c>
      <c r="B135" s="6" t="s">
        <v>16</v>
      </c>
      <c r="C135" s="7">
        <f>MIN(Table1[[#This Row],[per_person]],64)*Table1[[#This Row],[truncate_num]]</f>
        <v>2432</v>
      </c>
      <c r="D135" s="95">
        <v>12</v>
      </c>
      <c r="E135" s="95">
        <v>12</v>
      </c>
      <c r="F135" s="8" t="s">
        <v>34</v>
      </c>
      <c r="G135" s="42" t="s">
        <v>38</v>
      </c>
      <c r="H135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35" s="5">
        <v>300</v>
      </c>
      <c r="J135" s="5" t="b">
        <v>0</v>
      </c>
      <c r="K135" s="5" t="s">
        <v>19</v>
      </c>
      <c r="L135" s="10">
        <f>MIN(Table1[[#This Row],[Features]],Table1[[#This Row],[components]])</f>
        <v>300</v>
      </c>
      <c r="M135" s="79" t="b">
        <v>0</v>
      </c>
      <c r="N135" s="80">
        <v>32</v>
      </c>
      <c r="O135" s="80" t="b">
        <v>0</v>
      </c>
      <c r="P135" s="81">
        <v>6</v>
      </c>
      <c r="Q135" s="10">
        <v>4.8842630275856599E-2</v>
      </c>
      <c r="R135" s="10">
        <v>0.41789999999999999</v>
      </c>
      <c r="S135" s="10" t="s">
        <v>17</v>
      </c>
      <c r="T135" s="28">
        <v>0.98723404255319103</v>
      </c>
      <c r="U135" s="28">
        <v>0.98813581897914404</v>
      </c>
      <c r="V135" s="28">
        <v>0.97413486909474101</v>
      </c>
      <c r="W135" s="32"/>
      <c r="X135" s="32"/>
      <c r="Y135" s="32"/>
    </row>
    <row r="136" spans="1:25" x14ac:dyDescent="0.3">
      <c r="A136" s="12">
        <v>38</v>
      </c>
      <c r="B136" s="12" t="s">
        <v>16</v>
      </c>
      <c r="C136" s="13">
        <f>MIN(Table1[[#This Row],[per_person]],64)*Table1[[#This Row],[truncate_num]]</f>
        <v>2432</v>
      </c>
      <c r="D136" s="11">
        <v>12</v>
      </c>
      <c r="E136" s="11">
        <v>12</v>
      </c>
      <c r="F136" s="11" t="s">
        <v>34</v>
      </c>
      <c r="G136" s="41" t="s">
        <v>38</v>
      </c>
      <c r="H136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36" s="14">
        <v>300</v>
      </c>
      <c r="J136" s="14" t="b">
        <v>0</v>
      </c>
      <c r="K136" s="14" t="s">
        <v>19</v>
      </c>
      <c r="L136" s="39">
        <f>MIN(Table1[[#This Row],[Features]],Table1[[#This Row],[components]])</f>
        <v>300</v>
      </c>
      <c r="M136" s="76" t="b">
        <v>0</v>
      </c>
      <c r="N136" s="77">
        <v>101</v>
      </c>
      <c r="O136" s="77" t="b">
        <v>0</v>
      </c>
      <c r="P136" s="78">
        <v>3</v>
      </c>
      <c r="Q136" s="39">
        <v>1.9801980198019799E-2</v>
      </c>
      <c r="R136" s="39">
        <v>0.30609999999999998</v>
      </c>
      <c r="S136" s="39" t="s">
        <v>17</v>
      </c>
      <c r="T136" s="28">
        <v>0.889787234042553</v>
      </c>
      <c r="U136" s="28">
        <v>0.910827934188295</v>
      </c>
      <c r="V136" s="28">
        <v>0.72925006016965899</v>
      </c>
      <c r="W136" s="28"/>
      <c r="X136" s="28"/>
      <c r="Y136" s="28"/>
    </row>
    <row r="137" spans="1:25" x14ac:dyDescent="0.3">
      <c r="A137" s="6">
        <v>38</v>
      </c>
      <c r="B137" s="6" t="s">
        <v>16</v>
      </c>
      <c r="C137" s="7">
        <f>MIN(Table1[[#This Row],[per_person]],64)*Table1[[#This Row],[truncate_num]]</f>
        <v>2432</v>
      </c>
      <c r="D137" s="8">
        <v>12</v>
      </c>
      <c r="E137" s="8">
        <v>12</v>
      </c>
      <c r="F137" s="8" t="s">
        <v>34</v>
      </c>
      <c r="G137" s="42" t="s">
        <v>38</v>
      </c>
      <c r="H137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37" s="5">
        <v>300</v>
      </c>
      <c r="J137" s="5" t="b">
        <v>0</v>
      </c>
      <c r="K137" s="5" t="s">
        <v>19</v>
      </c>
      <c r="L137" s="10">
        <f>MIN(Table1[[#This Row],[Features]],Table1[[#This Row],[components]])</f>
        <v>300</v>
      </c>
      <c r="M137" s="79" t="b">
        <v>0</v>
      </c>
      <c r="N137" s="80">
        <v>161</v>
      </c>
      <c r="O137" s="80" t="b">
        <v>0</v>
      </c>
      <c r="P137" s="81">
        <v>3</v>
      </c>
      <c r="Q137" s="10">
        <v>1.2422360248447201E-2</v>
      </c>
      <c r="R137" s="10">
        <v>0.25209999999999999</v>
      </c>
      <c r="S137" s="10" t="s">
        <v>17</v>
      </c>
      <c r="T137" s="28">
        <v>0.79361702127659495</v>
      </c>
      <c r="U137" s="28">
        <v>0.85332781942112901</v>
      </c>
      <c r="V137" s="28">
        <v>0.60372668576542299</v>
      </c>
      <c r="W137" s="28"/>
      <c r="X137" s="28"/>
      <c r="Y137" s="28"/>
    </row>
    <row r="138" spans="1:25" x14ac:dyDescent="0.3">
      <c r="A138" s="12">
        <v>38</v>
      </c>
      <c r="B138" s="12" t="s">
        <v>16</v>
      </c>
      <c r="C138" s="13">
        <f>MIN(Table1[[#This Row],[per_person]],64)*Table1[[#This Row],[truncate_num]]</f>
        <v>2432</v>
      </c>
      <c r="D138" s="11">
        <v>12</v>
      </c>
      <c r="E138" s="11">
        <v>12</v>
      </c>
      <c r="F138" s="11" t="s">
        <v>34</v>
      </c>
      <c r="G138" s="41" t="s">
        <v>38</v>
      </c>
      <c r="H138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38" s="46">
        <v>300</v>
      </c>
      <c r="J138" s="14" t="b">
        <v>0</v>
      </c>
      <c r="K138" s="46" t="s">
        <v>19</v>
      </c>
      <c r="L138" s="39">
        <f>MIN(Table1[[#This Row],[Features]],Table1[[#This Row],[components]])</f>
        <v>300</v>
      </c>
      <c r="M138" s="76" t="b">
        <v>0</v>
      </c>
      <c r="N138" s="77">
        <v>128</v>
      </c>
      <c r="O138" s="77" t="b">
        <v>0</v>
      </c>
      <c r="P138" s="78">
        <v>2</v>
      </c>
      <c r="Q138" s="39">
        <v>7.8125E-3</v>
      </c>
      <c r="R138" s="39">
        <v>0.27939999999999998</v>
      </c>
      <c r="S138" s="39" t="s">
        <v>17</v>
      </c>
      <c r="T138" s="28">
        <v>0.998297872340425</v>
      </c>
      <c r="U138" s="28">
        <v>0.99756267216232497</v>
      </c>
      <c r="V138" s="28">
        <v>0.99640707488171998</v>
      </c>
      <c r="W138" s="32"/>
      <c r="X138" s="32"/>
      <c r="Y138" s="32"/>
    </row>
    <row r="139" spans="1:25" x14ac:dyDescent="0.3">
      <c r="A139" s="6">
        <v>38</v>
      </c>
      <c r="B139" s="6" t="s">
        <v>16</v>
      </c>
      <c r="C139" s="7">
        <f>MIN(Table1[[#This Row],[per_person]],64)*Table1[[#This Row],[truncate_num]]</f>
        <v>2432</v>
      </c>
      <c r="D139" s="8">
        <v>12</v>
      </c>
      <c r="E139" s="8">
        <v>12</v>
      </c>
      <c r="F139" s="8" t="s">
        <v>34</v>
      </c>
      <c r="G139" s="42" t="s">
        <v>38</v>
      </c>
      <c r="H139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39" s="5">
        <v>300</v>
      </c>
      <c r="J139" s="5" t="b">
        <v>0</v>
      </c>
      <c r="K139" s="5" t="s">
        <v>19</v>
      </c>
      <c r="L139" s="10">
        <f>MIN(Table1[[#This Row],[Features]],Table1[[#This Row],[components]])</f>
        <v>300</v>
      </c>
      <c r="M139" s="79" t="b">
        <v>0</v>
      </c>
      <c r="N139" s="80">
        <v>128</v>
      </c>
      <c r="O139" s="80" t="b">
        <v>0</v>
      </c>
      <c r="P139" s="81">
        <v>3</v>
      </c>
      <c r="Q139" s="10">
        <v>1.5625E-2</v>
      </c>
      <c r="R139" s="10">
        <v>0.28000000000000003</v>
      </c>
      <c r="S139" s="10" t="s">
        <v>17</v>
      </c>
      <c r="T139" s="28">
        <v>0.84595744680851004</v>
      </c>
      <c r="U139" s="28">
        <v>0.89155078075461902</v>
      </c>
      <c r="V139" s="28">
        <v>0.65412606282486496</v>
      </c>
      <c r="W139" s="28"/>
      <c r="X139" s="28"/>
      <c r="Y139" s="28"/>
    </row>
    <row r="140" spans="1:25" x14ac:dyDescent="0.3">
      <c r="A140" s="12">
        <v>38</v>
      </c>
      <c r="B140" s="12" t="s">
        <v>16</v>
      </c>
      <c r="C140" s="13">
        <f>MIN(Table1[[#This Row],[per_person]],64)*Table1[[#This Row],[truncate_num]]</f>
        <v>2432</v>
      </c>
      <c r="D140" s="11">
        <v>12</v>
      </c>
      <c r="E140" s="11">
        <v>12</v>
      </c>
      <c r="F140" s="11" t="s">
        <v>34</v>
      </c>
      <c r="G140" s="41" t="s">
        <v>38</v>
      </c>
      <c r="H140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40" s="14">
        <v>300</v>
      </c>
      <c r="J140" s="14" t="b">
        <v>0</v>
      </c>
      <c r="K140" s="14" t="s">
        <v>19</v>
      </c>
      <c r="L140" s="39">
        <f>MIN(Table1[[#This Row],[Features]],Table1[[#This Row],[components]])</f>
        <v>300</v>
      </c>
      <c r="M140" s="76" t="b">
        <v>0</v>
      </c>
      <c r="N140" s="77">
        <v>128</v>
      </c>
      <c r="O140" s="77" t="b">
        <v>0</v>
      </c>
      <c r="P140" s="78">
        <v>16</v>
      </c>
      <c r="Q140" s="39">
        <v>9.9865868826034699E-3</v>
      </c>
      <c r="R140" s="39">
        <v>0.1298</v>
      </c>
      <c r="S140" s="39" t="s">
        <v>17</v>
      </c>
      <c r="T140" s="28">
        <v>0.59531914893617</v>
      </c>
      <c r="U140" s="28">
        <v>0.69792308986916696</v>
      </c>
      <c r="V140" s="28">
        <v>0.21206388255653899</v>
      </c>
      <c r="W140" s="28"/>
      <c r="X140" s="28"/>
      <c r="Y140" s="28"/>
    </row>
    <row r="141" spans="1:25" x14ac:dyDescent="0.3">
      <c r="A141" s="6">
        <v>38</v>
      </c>
      <c r="B141" s="6" t="s">
        <v>16</v>
      </c>
      <c r="C141" s="7">
        <f>MIN(Table1[[#This Row],[per_person]],64)*Table1[[#This Row],[truncate_num]]</f>
        <v>2432</v>
      </c>
      <c r="D141" s="8">
        <v>12</v>
      </c>
      <c r="E141" s="8">
        <v>12</v>
      </c>
      <c r="F141" s="8" t="s">
        <v>34</v>
      </c>
      <c r="G141" s="42" t="s">
        <v>38</v>
      </c>
      <c r="H141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41" s="5">
        <v>300</v>
      </c>
      <c r="J141" s="5" t="b">
        <v>0</v>
      </c>
      <c r="K141" s="5" t="s">
        <v>19</v>
      </c>
      <c r="L141" s="10">
        <f>MIN(Table1[[#This Row],[Features]],Table1[[#This Row],[components]])</f>
        <v>300</v>
      </c>
      <c r="M141" s="79" t="b">
        <v>0</v>
      </c>
      <c r="N141" s="80">
        <v>164</v>
      </c>
      <c r="O141" s="80" t="b">
        <v>0</v>
      </c>
      <c r="P141" s="81">
        <v>16</v>
      </c>
      <c r="Q141" s="10">
        <v>9.9623586161128094E-3</v>
      </c>
      <c r="R141" s="10">
        <v>0.1033</v>
      </c>
      <c r="S141" s="10" t="s">
        <v>17</v>
      </c>
      <c r="T141" s="28">
        <v>0.61617021276595696</v>
      </c>
      <c r="U141" s="28">
        <v>0.68257773485600404</v>
      </c>
      <c r="V141" s="28">
        <v>0.26691378681919298</v>
      </c>
      <c r="W141" s="28"/>
      <c r="X141" s="28"/>
      <c r="Y141" s="28"/>
    </row>
    <row r="142" spans="1:25" x14ac:dyDescent="0.3">
      <c r="A142" s="12">
        <v>38</v>
      </c>
      <c r="B142" s="12" t="s">
        <v>16</v>
      </c>
      <c r="C142" s="13">
        <f>MIN(Table1[[#This Row],[per_person]],64)*Table1[[#This Row],[truncate_num]]</f>
        <v>2432</v>
      </c>
      <c r="D142" s="11">
        <v>12</v>
      </c>
      <c r="E142" s="11">
        <v>12</v>
      </c>
      <c r="F142" s="11" t="s">
        <v>34</v>
      </c>
      <c r="G142" s="41" t="s">
        <v>38</v>
      </c>
      <c r="H142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42" s="14">
        <v>300</v>
      </c>
      <c r="J142" s="14" t="b">
        <v>0</v>
      </c>
      <c r="K142" s="14" t="s">
        <v>19</v>
      </c>
      <c r="L142" s="39">
        <f>MIN(Table1[[#This Row],[Features]],Table1[[#This Row],[components]])</f>
        <v>300</v>
      </c>
      <c r="M142" s="76" t="b">
        <v>0</v>
      </c>
      <c r="N142" s="77">
        <v>80</v>
      </c>
      <c r="O142" s="77" t="b">
        <v>0</v>
      </c>
      <c r="P142" s="78">
        <v>16</v>
      </c>
      <c r="Q142" s="39">
        <v>1.45746935554953E-2</v>
      </c>
      <c r="R142" s="39">
        <v>0.1983</v>
      </c>
      <c r="S142" s="39" t="s">
        <v>17</v>
      </c>
      <c r="T142" s="28">
        <v>0.549361702127659</v>
      </c>
      <c r="U142" s="28">
        <v>0.64802200417488498</v>
      </c>
      <c r="V142" s="28">
        <v>0.158385895040459</v>
      </c>
      <c r="W142" s="28"/>
      <c r="X142" s="28"/>
      <c r="Y142" s="28"/>
    </row>
    <row r="143" spans="1:25" x14ac:dyDescent="0.3">
      <c r="A143" s="6">
        <v>38</v>
      </c>
      <c r="B143" s="6" t="s">
        <v>16</v>
      </c>
      <c r="C143" s="7">
        <f>MIN(Table1[[#This Row],[per_person]],64)*Table1[[#This Row],[truncate_num]]</f>
        <v>2432</v>
      </c>
      <c r="D143" s="8">
        <v>12</v>
      </c>
      <c r="E143" s="8">
        <v>12</v>
      </c>
      <c r="F143" s="8" t="s">
        <v>34</v>
      </c>
      <c r="G143" s="42" t="s">
        <v>38</v>
      </c>
      <c r="H143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43" s="5">
        <v>300</v>
      </c>
      <c r="J143" s="5" t="b">
        <v>0</v>
      </c>
      <c r="K143" s="5" t="s">
        <v>19</v>
      </c>
      <c r="L143" s="10">
        <f>MIN(Table1[[#This Row],[Features]],Table1[[#This Row],[components]])</f>
        <v>300</v>
      </c>
      <c r="M143" s="79" t="b">
        <v>0</v>
      </c>
      <c r="N143" s="80">
        <v>40</v>
      </c>
      <c r="O143" s="80" t="b">
        <v>0</v>
      </c>
      <c r="P143" s="81">
        <v>16</v>
      </c>
      <c r="Q143" s="10">
        <v>1.90970114650982E-2</v>
      </c>
      <c r="R143" s="10">
        <v>0.35589999999999999</v>
      </c>
      <c r="S143" s="10" t="s">
        <v>17</v>
      </c>
      <c r="T143" s="28">
        <v>0.57489361702127595</v>
      </c>
      <c r="U143" s="28">
        <v>0.69606454021134601</v>
      </c>
      <c r="V143" s="28">
        <v>0.1325495136034</v>
      </c>
      <c r="W143" s="28"/>
      <c r="X143" s="28"/>
      <c r="Y143" s="28"/>
    </row>
    <row r="144" spans="1:25" x14ac:dyDescent="0.3">
      <c r="A144" s="12">
        <v>38</v>
      </c>
      <c r="B144" s="12" t="s">
        <v>16</v>
      </c>
      <c r="C144" s="13">
        <f>MIN(Table1[[#This Row],[per_person]],64)*Table1[[#This Row],[truncate_num]]</f>
        <v>2432</v>
      </c>
      <c r="D144" s="11">
        <v>12</v>
      </c>
      <c r="E144" s="11">
        <v>12</v>
      </c>
      <c r="F144" s="11" t="s">
        <v>34</v>
      </c>
      <c r="G144" s="41" t="s">
        <v>38</v>
      </c>
      <c r="H144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44" s="14">
        <v>300</v>
      </c>
      <c r="J144" s="14" t="b">
        <v>0</v>
      </c>
      <c r="K144" s="14" t="s">
        <v>19</v>
      </c>
      <c r="L144" s="39">
        <f>MIN(Table1[[#This Row],[Features]],Table1[[#This Row],[components]])</f>
        <v>300</v>
      </c>
      <c r="M144" s="76" t="b">
        <v>0</v>
      </c>
      <c r="N144" s="77">
        <v>20</v>
      </c>
      <c r="O144" s="77" t="b">
        <v>0</v>
      </c>
      <c r="P144" s="78">
        <v>16</v>
      </c>
      <c r="Q144" s="39">
        <v>2.17075961326295E-2</v>
      </c>
      <c r="R144" s="39">
        <v>0.53669999999999995</v>
      </c>
      <c r="S144" s="39" t="s">
        <v>17</v>
      </c>
      <c r="T144" s="28">
        <v>0.82</v>
      </c>
      <c r="U144" s="28">
        <v>0.877231911045529</v>
      </c>
      <c r="V144" s="28">
        <v>0.57148755013252905</v>
      </c>
      <c r="W144" s="28"/>
      <c r="X144" s="28"/>
      <c r="Y144" s="28"/>
    </row>
    <row r="145" spans="1:25" x14ac:dyDescent="0.3">
      <c r="A145" s="6">
        <v>38</v>
      </c>
      <c r="B145" s="6" t="s">
        <v>16</v>
      </c>
      <c r="C145" s="7">
        <f>MIN(Table1[[#This Row],[per_person]],64)*Table1[[#This Row],[truncate_num]]</f>
        <v>2432</v>
      </c>
      <c r="D145" s="8">
        <v>12</v>
      </c>
      <c r="E145" s="8">
        <v>12</v>
      </c>
      <c r="F145" s="8" t="s">
        <v>34</v>
      </c>
      <c r="G145" s="42" t="s">
        <v>38</v>
      </c>
      <c r="H145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45" s="5">
        <v>300</v>
      </c>
      <c r="J145" s="5" t="b">
        <v>0</v>
      </c>
      <c r="K145" s="5" t="s">
        <v>19</v>
      </c>
      <c r="L145" s="10">
        <f>MIN(Table1[[#This Row],[Features]],Table1[[#This Row],[components]])</f>
        <v>300</v>
      </c>
      <c r="M145" s="79" t="b">
        <v>0</v>
      </c>
      <c r="N145" s="80">
        <v>15</v>
      </c>
      <c r="O145" s="80" t="b">
        <v>0</v>
      </c>
      <c r="P145" s="81">
        <v>16</v>
      </c>
      <c r="Q145" s="10">
        <v>2.0638502419888599E-2</v>
      </c>
      <c r="R145" s="10">
        <v>0.59050000000000002</v>
      </c>
      <c r="S145" s="10" t="s">
        <v>17</v>
      </c>
      <c r="T145" s="28">
        <v>0.92170212765957404</v>
      </c>
      <c r="U145" s="28">
        <v>0.95982824851099402</v>
      </c>
      <c r="V145" s="28">
        <v>0.88238713313556005</v>
      </c>
      <c r="W145" s="28"/>
      <c r="X145" s="28"/>
      <c r="Y145" s="28"/>
    </row>
    <row r="146" spans="1:25" x14ac:dyDescent="0.3">
      <c r="A146" s="12">
        <v>38</v>
      </c>
      <c r="B146" s="12" t="s">
        <v>16</v>
      </c>
      <c r="C146" s="13">
        <f>MIN(Table1[[#This Row],[per_person]],64)*Table1[[#This Row],[truncate_num]]</f>
        <v>2432</v>
      </c>
      <c r="D146" s="94">
        <v>12</v>
      </c>
      <c r="E146" s="94">
        <v>12</v>
      </c>
      <c r="F146" s="11" t="s">
        <v>34</v>
      </c>
      <c r="G146" s="41" t="s">
        <v>38</v>
      </c>
      <c r="H146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46" s="14">
        <v>300</v>
      </c>
      <c r="J146" s="14" t="b">
        <v>0</v>
      </c>
      <c r="K146" s="14" t="s">
        <v>19</v>
      </c>
      <c r="L146" s="39">
        <f>MIN(Table1[[#This Row],[Features]],Table1[[#This Row],[components]])</f>
        <v>300</v>
      </c>
      <c r="M146" s="76" t="b">
        <v>0</v>
      </c>
      <c r="N146" s="77">
        <v>13</v>
      </c>
      <c r="O146" s="77" t="b">
        <v>0</v>
      </c>
      <c r="P146" s="78">
        <v>16</v>
      </c>
      <c r="Q146" s="39">
        <v>2.3078750863757502E-2</v>
      </c>
      <c r="R146" s="39">
        <v>0.6079</v>
      </c>
      <c r="S146" s="39" t="s">
        <v>17</v>
      </c>
      <c r="T146" s="28">
        <v>0.98425531914893605</v>
      </c>
      <c r="U146" s="28">
        <v>0.98781727278500298</v>
      </c>
      <c r="V146" s="28">
        <v>0.96808125341349804</v>
      </c>
      <c r="W146" s="32"/>
      <c r="X146" s="32"/>
      <c r="Y146" s="32"/>
    </row>
    <row r="147" spans="1:25" x14ac:dyDescent="0.3">
      <c r="A147" s="6">
        <v>38</v>
      </c>
      <c r="B147" s="6" t="s">
        <v>16</v>
      </c>
      <c r="C147" s="7">
        <f>MIN(Table1[[#This Row],[per_person]],64)*Table1[[#This Row],[truncate_num]]</f>
        <v>2432</v>
      </c>
      <c r="D147" s="95">
        <v>12</v>
      </c>
      <c r="E147" s="95">
        <v>12</v>
      </c>
      <c r="F147" s="8" t="s">
        <v>34</v>
      </c>
      <c r="G147" s="42" t="s">
        <v>38</v>
      </c>
      <c r="H147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47" s="5">
        <v>300</v>
      </c>
      <c r="J147" s="5" t="b">
        <v>0</v>
      </c>
      <c r="K147" s="5" t="s">
        <v>19</v>
      </c>
      <c r="L147" s="10">
        <f>MIN(Table1[[#This Row],[Features]],Table1[[#This Row],[components]])</f>
        <v>300</v>
      </c>
      <c r="M147" s="79" t="b">
        <v>0</v>
      </c>
      <c r="N147" s="80">
        <v>10</v>
      </c>
      <c r="O147" s="80" t="b">
        <v>0</v>
      </c>
      <c r="P147" s="81">
        <v>16</v>
      </c>
      <c r="Q147" s="10">
        <v>2.1001859775592501E-2</v>
      </c>
      <c r="R147" s="10">
        <v>0.64490000000000003</v>
      </c>
      <c r="S147" s="10" t="s">
        <v>17</v>
      </c>
      <c r="T147" s="28">
        <v>0.96340425531914897</v>
      </c>
      <c r="U147" s="28">
        <v>0.98757512663832703</v>
      </c>
      <c r="V147" s="28">
        <v>0.95950816357622504</v>
      </c>
      <c r="W147" s="28"/>
      <c r="X147" s="28"/>
      <c r="Y147" s="28"/>
    </row>
    <row r="148" spans="1:25" x14ac:dyDescent="0.3">
      <c r="A148" s="12">
        <v>38</v>
      </c>
      <c r="B148" s="12" t="s">
        <v>16</v>
      </c>
      <c r="C148" s="13">
        <f>MIN(Table1[[#This Row],[per_person]],64)*Table1[[#This Row],[truncate_num]]</f>
        <v>2432</v>
      </c>
      <c r="D148" s="11">
        <v>12</v>
      </c>
      <c r="E148" s="11">
        <v>12</v>
      </c>
      <c r="F148" s="11" t="s">
        <v>34</v>
      </c>
      <c r="G148" s="41" t="s">
        <v>38</v>
      </c>
      <c r="H148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48" s="14">
        <v>300</v>
      </c>
      <c r="J148" s="14" t="b">
        <v>0</v>
      </c>
      <c r="K148" s="14" t="s">
        <v>19</v>
      </c>
      <c r="L148" s="39">
        <f>MIN(Table1[[#This Row],[Features]],Table1[[#This Row],[components]])</f>
        <v>300</v>
      </c>
      <c r="M148" s="76" t="b">
        <v>0</v>
      </c>
      <c r="N148" s="77">
        <v>20</v>
      </c>
      <c r="O148" s="77" t="b">
        <v>0</v>
      </c>
      <c r="P148" s="78">
        <v>20</v>
      </c>
      <c r="Q148" s="39">
        <v>1.6200228760115901E-2</v>
      </c>
      <c r="R148" s="39">
        <v>0.53959999999999997</v>
      </c>
      <c r="S148" s="39" t="s">
        <v>17</v>
      </c>
      <c r="T148" s="28">
        <v>0.75872340425531903</v>
      </c>
      <c r="U148" s="28">
        <v>0.85931415539000999</v>
      </c>
      <c r="V148" s="28">
        <v>0.57183976547405702</v>
      </c>
      <c r="W148" s="28"/>
      <c r="X148" s="28"/>
      <c r="Y148" s="28"/>
    </row>
    <row r="149" spans="1:25" x14ac:dyDescent="0.3">
      <c r="A149" s="6">
        <v>38</v>
      </c>
      <c r="B149" s="6" t="s">
        <v>16</v>
      </c>
      <c r="C149" s="7">
        <f>MIN(Table1[[#This Row],[per_person]],64)*Table1[[#This Row],[truncate_num]]</f>
        <v>2432</v>
      </c>
      <c r="D149" s="8">
        <v>12</v>
      </c>
      <c r="E149" s="8">
        <v>12</v>
      </c>
      <c r="F149" s="8" t="s">
        <v>34</v>
      </c>
      <c r="G149" s="42" t="s">
        <v>38</v>
      </c>
      <c r="H149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49" s="5">
        <v>300</v>
      </c>
      <c r="J149" s="5" t="b">
        <v>0</v>
      </c>
      <c r="K149" s="5" t="s">
        <v>19</v>
      </c>
      <c r="L149" s="10">
        <f>MIN(Table1[[#This Row],[Features]],Table1[[#This Row],[components]])</f>
        <v>300</v>
      </c>
      <c r="M149" s="79" t="b">
        <v>0</v>
      </c>
      <c r="N149" s="80">
        <v>4</v>
      </c>
      <c r="O149" s="80" t="b">
        <v>0</v>
      </c>
      <c r="P149" s="81">
        <v>20</v>
      </c>
      <c r="Q149" s="10">
        <v>1.1821076430179E-2</v>
      </c>
      <c r="R149" s="10">
        <v>0.81389999999999996</v>
      </c>
      <c r="S149" s="10" t="s">
        <v>17</v>
      </c>
      <c r="T149" s="28">
        <v>0.90127659574468</v>
      </c>
      <c r="U149" s="28">
        <v>0.95935226662625595</v>
      </c>
      <c r="V149" s="28">
        <v>0.82732161823514805</v>
      </c>
      <c r="W149" s="28"/>
      <c r="X149" s="28"/>
      <c r="Y149" s="28"/>
    </row>
    <row r="150" spans="1:25" x14ac:dyDescent="0.3">
      <c r="A150" s="12">
        <v>38</v>
      </c>
      <c r="B150" s="12" t="s">
        <v>16</v>
      </c>
      <c r="C150" s="13">
        <f>MIN(Table1[[#This Row],[per_person]],64)*Table1[[#This Row],[truncate_num]]</f>
        <v>2432</v>
      </c>
      <c r="D150" s="11">
        <v>12</v>
      </c>
      <c r="E150" s="11">
        <v>12</v>
      </c>
      <c r="F150" s="11" t="s">
        <v>34</v>
      </c>
      <c r="G150" s="41" t="s">
        <v>38</v>
      </c>
      <c r="H150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50" s="14">
        <v>300</v>
      </c>
      <c r="J150" s="14" t="b">
        <v>0</v>
      </c>
      <c r="K150" s="14" t="s">
        <v>19</v>
      </c>
      <c r="L150" s="39">
        <f>MIN(Table1[[#This Row],[Features]],Table1[[#This Row],[components]])</f>
        <v>300</v>
      </c>
      <c r="M150" s="76" t="b">
        <v>0</v>
      </c>
      <c r="N150" s="77">
        <v>2</v>
      </c>
      <c r="O150" s="77" t="b">
        <v>0</v>
      </c>
      <c r="P150" s="78">
        <v>20</v>
      </c>
      <c r="Q150" s="39">
        <v>1.0604374140598101E-2</v>
      </c>
      <c r="R150" s="39">
        <v>0.91220000000000001</v>
      </c>
      <c r="S150" s="39" t="s">
        <v>17</v>
      </c>
      <c r="T150" s="28">
        <v>0.18723404255319101</v>
      </c>
      <c r="U150" s="28">
        <v>0.37271572479440102</v>
      </c>
      <c r="V150" s="28">
        <v>7.5820960232955599E-3</v>
      </c>
      <c r="W150" s="28"/>
      <c r="X150" s="28"/>
      <c r="Y150" s="28"/>
    </row>
    <row r="151" spans="1:25" x14ac:dyDescent="0.3">
      <c r="A151" s="6">
        <v>38</v>
      </c>
      <c r="B151" s="6" t="s">
        <v>16</v>
      </c>
      <c r="C151" s="7">
        <f>MIN(Table1[[#This Row],[per_person]],64)*Table1[[#This Row],[truncate_num]]</f>
        <v>2432</v>
      </c>
      <c r="D151" s="8">
        <v>12</v>
      </c>
      <c r="E151" s="8">
        <v>12</v>
      </c>
      <c r="F151" s="8" t="s">
        <v>34</v>
      </c>
      <c r="G151" s="42" t="s">
        <v>38</v>
      </c>
      <c r="H151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51" s="5">
        <v>300</v>
      </c>
      <c r="J151" s="5" t="b">
        <v>0</v>
      </c>
      <c r="K151" s="5" t="s">
        <v>19</v>
      </c>
      <c r="L151" s="10">
        <f>MIN(Table1[[#This Row],[Features]],Table1[[#This Row],[components]])</f>
        <v>300</v>
      </c>
      <c r="M151" s="79" t="b">
        <v>0</v>
      </c>
      <c r="N151" s="80">
        <v>5</v>
      </c>
      <c r="O151" s="80" t="b">
        <v>0</v>
      </c>
      <c r="P151" s="81">
        <v>24</v>
      </c>
      <c r="Q151" s="10">
        <v>9.2668997683702601E-3</v>
      </c>
      <c r="R151" s="10">
        <v>0.78910000000000002</v>
      </c>
      <c r="S151" s="10" t="s">
        <v>17</v>
      </c>
      <c r="T151" s="28">
        <v>0.93021276595744595</v>
      </c>
      <c r="U151" s="28">
        <v>0.97991005600848002</v>
      </c>
      <c r="V151" s="28">
        <v>0.92589339024858597</v>
      </c>
      <c r="W151" s="28"/>
      <c r="X151" s="28"/>
      <c r="Y151" s="28"/>
    </row>
    <row r="152" spans="1:25" x14ac:dyDescent="0.3">
      <c r="A152" s="12">
        <v>38</v>
      </c>
      <c r="B152" s="12" t="s">
        <v>16</v>
      </c>
      <c r="C152" s="13">
        <f>MIN(Table1[[#This Row],[per_person]],64)*Table1[[#This Row],[truncate_num]]</f>
        <v>2432</v>
      </c>
      <c r="D152" s="11">
        <v>12</v>
      </c>
      <c r="E152" s="11">
        <v>12</v>
      </c>
      <c r="F152" s="11" t="s">
        <v>34</v>
      </c>
      <c r="G152" s="41" t="s">
        <v>38</v>
      </c>
      <c r="H152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52" s="14">
        <v>300</v>
      </c>
      <c r="J152" s="14" t="b">
        <v>0</v>
      </c>
      <c r="K152" s="14" t="s">
        <v>19</v>
      </c>
      <c r="L152" s="39">
        <f>MIN(Table1[[#This Row],[Features]],Table1[[#This Row],[components]])</f>
        <v>300</v>
      </c>
      <c r="M152" s="76" t="b">
        <v>0</v>
      </c>
      <c r="N152" s="77">
        <v>200</v>
      </c>
      <c r="O152" s="77" t="b">
        <v>0</v>
      </c>
      <c r="P152" s="78">
        <v>32</v>
      </c>
      <c r="Q152" s="39">
        <v>4.4745319761107603E-3</v>
      </c>
      <c r="R152" s="39">
        <v>8.2199999999999995E-2</v>
      </c>
      <c r="S152" s="39" t="s">
        <v>17</v>
      </c>
      <c r="T152" s="28">
        <v>0.54425531914893599</v>
      </c>
      <c r="U152" s="28">
        <v>0.595990011265214</v>
      </c>
      <c r="V152" s="28">
        <v>0.196144578138534</v>
      </c>
      <c r="W152" s="28"/>
      <c r="X152" s="28"/>
      <c r="Y152" s="28"/>
    </row>
    <row r="153" spans="1:25" x14ac:dyDescent="0.3">
      <c r="A153" s="6">
        <v>38</v>
      </c>
      <c r="B153" s="6" t="s">
        <v>16</v>
      </c>
      <c r="C153" s="7">
        <f>MIN(Table1[[#This Row],[per_person]],64)*Table1[[#This Row],[truncate_num]]</f>
        <v>2432</v>
      </c>
      <c r="D153" s="8">
        <v>12</v>
      </c>
      <c r="E153" s="8">
        <v>12</v>
      </c>
      <c r="F153" s="8" t="s">
        <v>34</v>
      </c>
      <c r="G153" s="42" t="s">
        <v>38</v>
      </c>
      <c r="H153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53" s="5">
        <v>300</v>
      </c>
      <c r="J153" s="5" t="b">
        <v>0</v>
      </c>
      <c r="K153" s="5" t="s">
        <v>19</v>
      </c>
      <c r="L153" s="10">
        <f>MIN(Table1[[#This Row],[Features]],Table1[[#This Row],[components]])</f>
        <v>300</v>
      </c>
      <c r="M153" s="79" t="b">
        <v>0</v>
      </c>
      <c r="N153" s="80">
        <v>100</v>
      </c>
      <c r="O153" s="80" t="b">
        <v>0</v>
      </c>
      <c r="P153" s="81">
        <v>32</v>
      </c>
      <c r="Q153" s="10">
        <v>6.9989777153460202E-3</v>
      </c>
      <c r="R153" s="10">
        <v>0.15740000000000001</v>
      </c>
      <c r="S153" s="10" t="s">
        <v>17</v>
      </c>
      <c r="T153" s="28">
        <v>0.55787234042553102</v>
      </c>
      <c r="U153" s="28">
        <v>0.67012597730302503</v>
      </c>
      <c r="V153" s="28">
        <v>0.16246871940555399</v>
      </c>
      <c r="W153" s="28"/>
      <c r="X153" s="28"/>
      <c r="Y153" s="28"/>
    </row>
    <row r="154" spans="1:25" x14ac:dyDescent="0.3">
      <c r="A154" s="12">
        <v>38</v>
      </c>
      <c r="B154" s="12" t="s">
        <v>16</v>
      </c>
      <c r="C154" s="13">
        <f>MIN(Table1[[#This Row],[per_person]],64)*Table1[[#This Row],[truncate_num]]</f>
        <v>2432</v>
      </c>
      <c r="D154" s="11">
        <v>12</v>
      </c>
      <c r="E154" s="11">
        <v>12</v>
      </c>
      <c r="F154" s="11" t="s">
        <v>34</v>
      </c>
      <c r="G154" s="41" t="s">
        <v>38</v>
      </c>
      <c r="H154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54" s="14">
        <v>300</v>
      </c>
      <c r="J154" s="14" t="b">
        <v>0</v>
      </c>
      <c r="K154" s="14" t="s">
        <v>19</v>
      </c>
      <c r="L154" s="39">
        <f>MIN(Table1[[#This Row],[Features]],Table1[[#This Row],[components]])</f>
        <v>300</v>
      </c>
      <c r="M154" s="76" t="b">
        <v>0</v>
      </c>
      <c r="N154" s="77">
        <v>50</v>
      </c>
      <c r="O154" s="77" t="b">
        <v>0</v>
      </c>
      <c r="P154" s="78">
        <v>32</v>
      </c>
      <c r="Q154" s="39">
        <v>7.8551616465539192E-3</v>
      </c>
      <c r="R154" s="39">
        <v>0.29630000000000001</v>
      </c>
      <c r="S154" s="39" t="s">
        <v>17</v>
      </c>
      <c r="T154" s="28">
        <v>0.54978723404255303</v>
      </c>
      <c r="U154" s="28">
        <v>0.64533851159814004</v>
      </c>
      <c r="V154" s="28">
        <v>0.15095065222753401</v>
      </c>
      <c r="W154" s="28"/>
      <c r="X154" s="28"/>
      <c r="Y154" s="28"/>
    </row>
    <row r="155" spans="1:25" x14ac:dyDescent="0.3">
      <c r="A155" s="6">
        <v>38</v>
      </c>
      <c r="B155" s="6" t="s">
        <v>16</v>
      </c>
      <c r="C155" s="7">
        <f>MIN(Table1[[#This Row],[per_person]],64)*Table1[[#This Row],[truncate_num]]</f>
        <v>2432</v>
      </c>
      <c r="D155" s="8">
        <v>12</v>
      </c>
      <c r="E155" s="8">
        <v>12</v>
      </c>
      <c r="F155" s="8" t="s">
        <v>34</v>
      </c>
      <c r="G155" s="42" t="s">
        <v>38</v>
      </c>
      <c r="H155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55" s="5">
        <v>300</v>
      </c>
      <c r="J155" s="5" t="b">
        <v>0</v>
      </c>
      <c r="K155" s="5" t="s">
        <v>19</v>
      </c>
      <c r="L155" s="10">
        <f>MIN(Table1[[#This Row],[Features]],Table1[[#This Row],[components]])</f>
        <v>300</v>
      </c>
      <c r="M155" s="79" t="b">
        <v>0</v>
      </c>
      <c r="N155" s="80">
        <v>128</v>
      </c>
      <c r="O155" s="80" t="b">
        <v>0</v>
      </c>
      <c r="P155" s="81">
        <v>23</v>
      </c>
      <c r="Q155" s="10">
        <v>8.7632870516207995E-3</v>
      </c>
      <c r="R155" s="10">
        <v>0.12709999999999999</v>
      </c>
      <c r="S155" s="10" t="s">
        <v>17</v>
      </c>
      <c r="T155" s="28">
        <v>0.58893617021276601</v>
      </c>
      <c r="U155" s="28">
        <v>0.69526431011747603</v>
      </c>
      <c r="V155" s="28">
        <v>0.19582196008090599</v>
      </c>
      <c r="W155" s="28"/>
      <c r="X155" s="28"/>
      <c r="Y155" s="28"/>
    </row>
    <row r="156" spans="1:25" x14ac:dyDescent="0.3">
      <c r="A156" s="12">
        <v>38</v>
      </c>
      <c r="B156" s="12" t="s">
        <v>16</v>
      </c>
      <c r="C156" s="13">
        <f>MIN(Table1[[#This Row],[per_person]],64)*Table1[[#This Row],[truncate_num]]</f>
        <v>2432</v>
      </c>
      <c r="D156" s="11">
        <v>12</v>
      </c>
      <c r="E156" s="11">
        <v>12</v>
      </c>
      <c r="F156" s="11" t="s">
        <v>34</v>
      </c>
      <c r="G156" s="41" t="s">
        <v>38</v>
      </c>
      <c r="H156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56" s="14">
        <v>300</v>
      </c>
      <c r="J156" s="14" t="b">
        <v>0</v>
      </c>
      <c r="K156" s="14" t="s">
        <v>19</v>
      </c>
      <c r="L156" s="39">
        <f>MIN(Table1[[#This Row],[Features]],Table1[[#This Row],[components]])</f>
        <v>300</v>
      </c>
      <c r="M156" s="76" t="b">
        <v>0</v>
      </c>
      <c r="N156" s="77">
        <v>64</v>
      </c>
      <c r="O156" s="77" t="b">
        <v>0</v>
      </c>
      <c r="P156" s="78">
        <v>23</v>
      </c>
      <c r="Q156" s="39">
        <v>1.1529644460446801E-2</v>
      </c>
      <c r="R156" s="39">
        <v>0.23880000000000001</v>
      </c>
      <c r="S156" s="39" t="s">
        <v>17</v>
      </c>
      <c r="T156" s="28">
        <v>0.54085106382978698</v>
      </c>
      <c r="U156" s="28">
        <v>0.61701384347074295</v>
      </c>
      <c r="V156" s="28">
        <v>0.124161941488102</v>
      </c>
      <c r="W156" s="28"/>
      <c r="X156" s="28"/>
      <c r="Y156" s="28"/>
    </row>
    <row r="157" spans="1:25" x14ac:dyDescent="0.3">
      <c r="A157" s="6">
        <v>38</v>
      </c>
      <c r="B157" s="6" t="s">
        <v>16</v>
      </c>
      <c r="C157" s="7">
        <f>MIN(Table1[[#This Row],[per_person]],64)*Table1[[#This Row],[truncate_num]]</f>
        <v>2432</v>
      </c>
      <c r="D157" s="8">
        <v>12</v>
      </c>
      <c r="E157" s="8">
        <v>12</v>
      </c>
      <c r="F157" s="8" t="s">
        <v>34</v>
      </c>
      <c r="G157" s="42" t="s">
        <v>38</v>
      </c>
      <c r="H157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57" s="5">
        <v>300</v>
      </c>
      <c r="J157" s="5" t="b">
        <v>0</v>
      </c>
      <c r="K157" s="5" t="s">
        <v>19</v>
      </c>
      <c r="L157" s="10">
        <f>MIN(Table1[[#This Row],[Features]],Table1[[#This Row],[components]])</f>
        <v>300</v>
      </c>
      <c r="M157" s="79" t="b">
        <v>0</v>
      </c>
      <c r="N157" s="80">
        <v>32</v>
      </c>
      <c r="O157" s="80" t="b">
        <v>0</v>
      </c>
      <c r="P157" s="81">
        <v>23</v>
      </c>
      <c r="Q157" s="10">
        <v>1.3728852785544801E-2</v>
      </c>
      <c r="R157" s="10">
        <v>0.41959999999999997</v>
      </c>
      <c r="S157" s="10" t="s">
        <v>17</v>
      </c>
      <c r="T157" s="28">
        <v>0.58212765957446799</v>
      </c>
      <c r="U157" s="28">
        <v>0.68128542663435399</v>
      </c>
      <c r="V157" s="28">
        <v>0.196577946396123</v>
      </c>
      <c r="W157" s="28"/>
      <c r="X157" s="28"/>
      <c r="Y157" s="28"/>
    </row>
    <row r="158" spans="1:25" x14ac:dyDescent="0.3">
      <c r="A158" s="12">
        <v>38</v>
      </c>
      <c r="B158" s="12" t="s">
        <v>16</v>
      </c>
      <c r="C158" s="13">
        <f>MIN(Table1[[#This Row],[per_person]],64)*Table1[[#This Row],[truncate_num]]</f>
        <v>2432</v>
      </c>
      <c r="D158" s="11">
        <v>12</v>
      </c>
      <c r="E158" s="11">
        <v>12</v>
      </c>
      <c r="F158" s="11" t="s">
        <v>34</v>
      </c>
      <c r="G158" s="41" t="s">
        <v>38</v>
      </c>
      <c r="H158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58" s="14">
        <v>300</v>
      </c>
      <c r="J158" s="14" t="b">
        <v>0</v>
      </c>
      <c r="K158" s="14" t="s">
        <v>19</v>
      </c>
      <c r="L158" s="39">
        <f>MIN(Table1[[#This Row],[Features]],Table1[[#This Row],[components]])</f>
        <v>300</v>
      </c>
      <c r="M158" s="76" t="b">
        <v>0</v>
      </c>
      <c r="N158" s="77">
        <v>50</v>
      </c>
      <c r="O158" s="77" t="b">
        <v>0</v>
      </c>
      <c r="P158" s="78">
        <v>64</v>
      </c>
      <c r="Q158" s="39">
        <v>1.35341556769917E-3</v>
      </c>
      <c r="R158" s="39">
        <v>0.29530000000000001</v>
      </c>
      <c r="S158" s="39" t="s">
        <v>17</v>
      </c>
      <c r="T158" s="28">
        <v>0.547659574468085</v>
      </c>
      <c r="U158" s="28">
        <v>0.640567218714857</v>
      </c>
      <c r="V158" s="28">
        <v>0.14308734738683701</v>
      </c>
      <c r="W158" s="28"/>
      <c r="X158" s="28"/>
      <c r="Y158" s="28"/>
    </row>
    <row r="159" spans="1:25" x14ac:dyDescent="0.3">
      <c r="A159" s="6">
        <v>38</v>
      </c>
      <c r="B159" s="6" t="s">
        <v>16</v>
      </c>
      <c r="C159" s="7">
        <f>MIN(Table1[[#This Row],[per_person]],64)*Table1[[#This Row],[truncate_num]]</f>
        <v>2432</v>
      </c>
      <c r="D159" s="8">
        <v>12</v>
      </c>
      <c r="E159" s="8">
        <v>12</v>
      </c>
      <c r="F159" s="8" t="s">
        <v>34</v>
      </c>
      <c r="G159" s="42" t="s">
        <v>38</v>
      </c>
      <c r="H159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59" s="47">
        <v>300</v>
      </c>
      <c r="J159" s="47" t="b">
        <v>0</v>
      </c>
      <c r="K159" s="47" t="s">
        <v>19</v>
      </c>
      <c r="L159" s="10">
        <f>MIN(Table1[[#This Row],[Features]],Table1[[#This Row],[components]])</f>
        <v>300</v>
      </c>
      <c r="M159" s="79" t="b">
        <v>0</v>
      </c>
      <c r="N159" s="80">
        <v>50</v>
      </c>
      <c r="O159" s="80" t="b">
        <v>0</v>
      </c>
      <c r="P159" s="81">
        <v>3</v>
      </c>
      <c r="Q159" s="10">
        <v>3.15938243725861E-2</v>
      </c>
      <c r="R159" s="10">
        <v>0.35909999999999997</v>
      </c>
      <c r="S159" s="10" t="s">
        <v>17</v>
      </c>
      <c r="T159" s="28">
        <v>0.99787234042553197</v>
      </c>
      <c r="U159" s="28">
        <v>0.99695112729703605</v>
      </c>
      <c r="V159" s="28">
        <v>0.99549151746959996</v>
      </c>
      <c r="W159" s="32"/>
      <c r="X159" s="32"/>
      <c r="Y159" s="32"/>
    </row>
    <row r="160" spans="1:25" x14ac:dyDescent="0.3">
      <c r="A160" s="12">
        <v>38</v>
      </c>
      <c r="B160" s="12" t="s">
        <v>16</v>
      </c>
      <c r="C160" s="13">
        <f>MIN(Table1[[#This Row],[per_person]],64)*Table1[[#This Row],[truncate_num]]</f>
        <v>2432</v>
      </c>
      <c r="D160" s="11">
        <v>12</v>
      </c>
      <c r="E160" s="11">
        <v>12</v>
      </c>
      <c r="F160" s="11" t="s">
        <v>34</v>
      </c>
      <c r="G160" s="41" t="s">
        <v>38</v>
      </c>
      <c r="H160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60" s="14">
        <v>300</v>
      </c>
      <c r="J160" s="14" t="b">
        <v>0</v>
      </c>
      <c r="K160" s="14" t="s">
        <v>19</v>
      </c>
      <c r="L160" s="39">
        <f>MIN(Table1[[#This Row],[Features]],Table1[[#This Row],[components]])</f>
        <v>300</v>
      </c>
      <c r="M160" s="76" t="b">
        <v>0</v>
      </c>
      <c r="N160" s="77">
        <v>200</v>
      </c>
      <c r="O160" s="77" t="b">
        <v>0</v>
      </c>
      <c r="P160" s="78">
        <v>256</v>
      </c>
      <c r="Q160" s="39">
        <v>3.9119188376186099E-4</v>
      </c>
      <c r="R160" s="39">
        <v>7.8700000000000006E-2</v>
      </c>
      <c r="S160" s="39" t="s">
        <v>17</v>
      </c>
      <c r="T160" s="28">
        <v>0.51191489361702103</v>
      </c>
      <c r="U160" s="28">
        <v>0.61186149988490102</v>
      </c>
      <c r="V160" s="28">
        <v>0.16959319943113901</v>
      </c>
      <c r="W160" s="28"/>
      <c r="X160" s="28"/>
      <c r="Y160" s="28"/>
    </row>
    <row r="161" spans="1:25" x14ac:dyDescent="0.3">
      <c r="A161" s="6">
        <v>38</v>
      </c>
      <c r="B161" s="6" t="s">
        <v>16</v>
      </c>
      <c r="C161" s="7">
        <f>MIN(Table1[[#This Row],[per_person]],64)*Table1[[#This Row],[truncate_num]]</f>
        <v>2432</v>
      </c>
      <c r="D161" s="95">
        <v>12</v>
      </c>
      <c r="E161" s="95">
        <v>12</v>
      </c>
      <c r="F161" s="8" t="s">
        <v>34</v>
      </c>
      <c r="G161" s="42" t="s">
        <v>38</v>
      </c>
      <c r="H161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61" s="5">
        <v>300</v>
      </c>
      <c r="J161" s="5" t="b">
        <v>0</v>
      </c>
      <c r="K161" s="5" t="s">
        <v>19</v>
      </c>
      <c r="L161" s="10">
        <f>MIN(Table1[[#This Row],[Features]],Table1[[#This Row],[components]])</f>
        <v>300</v>
      </c>
      <c r="M161" s="79" t="b">
        <v>0</v>
      </c>
      <c r="N161" s="80">
        <v>32</v>
      </c>
      <c r="O161" s="80" t="b">
        <v>0</v>
      </c>
      <c r="P161" s="81">
        <v>3</v>
      </c>
      <c r="Q161" s="10">
        <v>3.10464247951272E-2</v>
      </c>
      <c r="R161" s="10">
        <v>0.378</v>
      </c>
      <c r="S161" s="10" t="s">
        <v>17</v>
      </c>
      <c r="T161" s="32">
        <v>0.99787234042553197</v>
      </c>
      <c r="U161" s="32">
        <v>0.99695112729703605</v>
      </c>
      <c r="V161" s="32">
        <v>0.99549151746959996</v>
      </c>
      <c r="W161" s="32"/>
      <c r="X161" s="32"/>
      <c r="Y161" s="32"/>
    </row>
    <row r="162" spans="1:25" x14ac:dyDescent="0.3">
      <c r="A162" s="12">
        <v>38</v>
      </c>
      <c r="B162" s="12" t="s">
        <v>16</v>
      </c>
      <c r="C162" s="13">
        <f>MIN(Table1[[#This Row],[per_person]],64)*Table1[[#This Row],[truncate_num]]</f>
        <v>2432</v>
      </c>
      <c r="D162" s="11">
        <v>12</v>
      </c>
      <c r="E162" s="11">
        <v>12</v>
      </c>
      <c r="F162" s="11" t="s">
        <v>34</v>
      </c>
      <c r="G162" s="41" t="s">
        <v>38</v>
      </c>
      <c r="H162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62" s="14">
        <v>300</v>
      </c>
      <c r="J162" s="14" t="b">
        <v>0</v>
      </c>
      <c r="K162" s="14" t="s">
        <v>19</v>
      </c>
      <c r="L162" s="39">
        <f>MIN(Table1[[#This Row],[Features]],Table1[[#This Row],[components]])</f>
        <v>300</v>
      </c>
      <c r="M162" s="76" t="b">
        <v>0</v>
      </c>
      <c r="N162" s="77">
        <v>4</v>
      </c>
      <c r="O162" s="77" t="b">
        <v>0</v>
      </c>
      <c r="P162" s="78">
        <v>32</v>
      </c>
      <c r="Q162" s="39">
        <v>3.5616404896537798E-3</v>
      </c>
      <c r="R162" s="39">
        <v>0.84489999999999998</v>
      </c>
      <c r="S162" s="39" t="s">
        <v>17</v>
      </c>
      <c r="T162" s="28">
        <v>0.88127659574467998</v>
      </c>
      <c r="U162" s="28">
        <v>0.967024435062248</v>
      </c>
      <c r="V162" s="28">
        <v>0.85971686169876405</v>
      </c>
      <c r="W162" s="28"/>
      <c r="X162" s="28"/>
      <c r="Y162" s="28"/>
    </row>
    <row r="163" spans="1:25" x14ac:dyDescent="0.3">
      <c r="A163" s="6">
        <v>38</v>
      </c>
      <c r="B163" s="6" t="s">
        <v>16</v>
      </c>
      <c r="C163" s="7">
        <f>MIN(Table1[[#This Row],[per_person]],64)*Table1[[#This Row],[truncate_num]]</f>
        <v>2432</v>
      </c>
      <c r="D163" s="95">
        <v>12</v>
      </c>
      <c r="E163" s="95">
        <v>12</v>
      </c>
      <c r="F163" s="8" t="s">
        <v>34</v>
      </c>
      <c r="G163" s="42" t="s">
        <v>38</v>
      </c>
      <c r="H163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63" s="5">
        <v>300</v>
      </c>
      <c r="J163" s="5" t="b">
        <v>0</v>
      </c>
      <c r="K163" s="5" t="s">
        <v>19</v>
      </c>
      <c r="L163" s="10">
        <f>MIN(Table1[[#This Row],[Features]],Table1[[#This Row],[components]])</f>
        <v>300</v>
      </c>
      <c r="M163" s="79" t="b">
        <v>0</v>
      </c>
      <c r="N163" s="80">
        <v>32</v>
      </c>
      <c r="O163" s="80" t="b">
        <v>0</v>
      </c>
      <c r="P163" s="81">
        <v>2</v>
      </c>
      <c r="Q163" s="10">
        <v>3.125E-2</v>
      </c>
      <c r="R163" s="10">
        <v>0.27939999999999998</v>
      </c>
      <c r="S163" s="10" t="s">
        <v>17</v>
      </c>
      <c r="T163" s="28">
        <v>0.99744680851063805</v>
      </c>
      <c r="U163" s="28">
        <v>0.99633871983184497</v>
      </c>
      <c r="V163" s="28">
        <v>0.99456906691949798</v>
      </c>
      <c r="W163" s="32"/>
      <c r="X163" s="32"/>
      <c r="Y163" s="32"/>
    </row>
    <row r="164" spans="1:25" x14ac:dyDescent="0.3">
      <c r="A164" s="12">
        <v>38</v>
      </c>
      <c r="B164" s="12" t="s">
        <v>16</v>
      </c>
      <c r="C164" s="13">
        <f>MIN(Table1[[#This Row],[per_person]],64)*Table1[[#This Row],[truncate_num]]</f>
        <v>2432</v>
      </c>
      <c r="D164" s="11">
        <v>12</v>
      </c>
      <c r="E164" s="11">
        <v>12</v>
      </c>
      <c r="F164" s="11" t="s">
        <v>34</v>
      </c>
      <c r="G164" s="41" t="s">
        <v>38</v>
      </c>
      <c r="H164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64" s="14">
        <v>300</v>
      </c>
      <c r="J164" s="14" t="b">
        <v>0</v>
      </c>
      <c r="K164" s="14" t="s">
        <v>19</v>
      </c>
      <c r="L164" s="39">
        <f>MIN(Table1[[#This Row],[Features]],Table1[[#This Row],[components]])</f>
        <v>300</v>
      </c>
      <c r="M164" s="76" t="b">
        <v>0</v>
      </c>
      <c r="N164" s="77">
        <v>200</v>
      </c>
      <c r="O164" s="77" t="b">
        <v>0</v>
      </c>
      <c r="P164" s="78">
        <v>4</v>
      </c>
      <c r="Q164" s="39">
        <v>0.01</v>
      </c>
      <c r="R164" s="39">
        <v>0.15140000000000001</v>
      </c>
      <c r="S164" s="39" t="s">
        <v>17</v>
      </c>
      <c r="T164" s="28">
        <v>0.69617021276595703</v>
      </c>
      <c r="U164" s="28">
        <v>0.764397064967831</v>
      </c>
      <c r="V164" s="28">
        <v>0.450690888091002</v>
      </c>
      <c r="W164" s="28"/>
      <c r="X164" s="28"/>
      <c r="Y164" s="28"/>
    </row>
    <row r="165" spans="1:25" x14ac:dyDescent="0.3">
      <c r="A165" s="6">
        <v>38</v>
      </c>
      <c r="B165" s="6" t="s">
        <v>16</v>
      </c>
      <c r="C165" s="7">
        <f>MIN(Table1[[#This Row],[per_person]],64)*Table1[[#This Row],[truncate_num]]</f>
        <v>2432</v>
      </c>
      <c r="D165" s="8">
        <v>12</v>
      </c>
      <c r="E165" s="8">
        <v>12</v>
      </c>
      <c r="F165" s="8" t="s">
        <v>34</v>
      </c>
      <c r="G165" s="42" t="s">
        <v>38</v>
      </c>
      <c r="H165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65" s="5">
        <v>300</v>
      </c>
      <c r="J165" s="5" t="b">
        <v>0</v>
      </c>
      <c r="K165" s="5" t="s">
        <v>19</v>
      </c>
      <c r="L165" s="10">
        <f>MIN(Table1[[#This Row],[Features]],Table1[[#This Row],[components]])</f>
        <v>300</v>
      </c>
      <c r="M165" s="79" t="b">
        <v>0</v>
      </c>
      <c r="N165" s="80">
        <v>200</v>
      </c>
      <c r="O165" s="80" t="b">
        <v>0</v>
      </c>
      <c r="P165" s="81">
        <v>6</v>
      </c>
      <c r="Q165" s="10">
        <v>0.01</v>
      </c>
      <c r="R165" s="10">
        <v>0.10630000000000001</v>
      </c>
      <c r="S165" s="10" t="s">
        <v>17</v>
      </c>
      <c r="T165" s="28">
        <v>0.66510638297872304</v>
      </c>
      <c r="U165" s="28">
        <v>0.73768957513272704</v>
      </c>
      <c r="V165" s="28">
        <v>0.388882263589858</v>
      </c>
      <c r="W165" s="28"/>
      <c r="X165" s="28"/>
      <c r="Y165" s="28"/>
    </row>
    <row r="166" spans="1:25" x14ac:dyDescent="0.3">
      <c r="A166" s="12">
        <v>38</v>
      </c>
      <c r="B166" s="12" t="s">
        <v>16</v>
      </c>
      <c r="C166" s="13">
        <f>MIN(Table1[[#This Row],[per_person]],64)*Table1[[#This Row],[truncate_num]]</f>
        <v>2432</v>
      </c>
      <c r="D166" s="11">
        <v>12</v>
      </c>
      <c r="E166" s="11">
        <v>12</v>
      </c>
      <c r="F166" s="11" t="s">
        <v>34</v>
      </c>
      <c r="G166" s="41" t="s">
        <v>38</v>
      </c>
      <c r="H166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66" s="14">
        <v>300</v>
      </c>
      <c r="J166" s="14" t="b">
        <v>0</v>
      </c>
      <c r="K166" s="14" t="s">
        <v>19</v>
      </c>
      <c r="L166" s="39">
        <f>MIN(Table1[[#This Row],[Features]],Table1[[#This Row],[components]])</f>
        <v>300</v>
      </c>
      <c r="M166" s="76" t="b">
        <v>0</v>
      </c>
      <c r="N166" s="77">
        <v>200</v>
      </c>
      <c r="O166" s="77" t="b">
        <v>0</v>
      </c>
      <c r="P166" s="78">
        <v>11</v>
      </c>
      <c r="Q166" s="39">
        <v>8.6329176556805692E-3</v>
      </c>
      <c r="R166" s="39">
        <v>9.1600000000000001E-2</v>
      </c>
      <c r="S166" s="39" t="s">
        <v>17</v>
      </c>
      <c r="T166" s="28">
        <v>0.61234042553191403</v>
      </c>
      <c r="U166" s="28">
        <v>0.65404682178723605</v>
      </c>
      <c r="V166" s="28">
        <v>0.22648664882361699</v>
      </c>
      <c r="W166" s="28"/>
      <c r="X166" s="28"/>
      <c r="Y166" s="28"/>
    </row>
    <row r="167" spans="1:25" x14ac:dyDescent="0.3">
      <c r="A167" s="6">
        <v>38</v>
      </c>
      <c r="B167" s="6" t="s">
        <v>16</v>
      </c>
      <c r="C167" s="7">
        <f>MIN(Table1[[#This Row],[per_person]],64)*Table1[[#This Row],[truncate_num]]</f>
        <v>2432</v>
      </c>
      <c r="D167" s="8">
        <v>12</v>
      </c>
      <c r="E167" s="8">
        <v>12</v>
      </c>
      <c r="F167" s="8" t="s">
        <v>34</v>
      </c>
      <c r="G167" s="42" t="s">
        <v>38</v>
      </c>
      <c r="H167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67" s="5">
        <v>300</v>
      </c>
      <c r="J167" s="5" t="b">
        <v>0</v>
      </c>
      <c r="K167" s="5" t="s">
        <v>19</v>
      </c>
      <c r="L167" s="10">
        <f>MIN(Table1[[#This Row],[Features]],Table1[[#This Row],[components]])</f>
        <v>300</v>
      </c>
      <c r="M167" s="79" t="b">
        <v>0</v>
      </c>
      <c r="N167" s="80">
        <v>40</v>
      </c>
      <c r="O167" s="80" t="b">
        <v>0</v>
      </c>
      <c r="P167" s="81">
        <v>128</v>
      </c>
      <c r="Q167" s="10">
        <v>5.4169902535512997E-4</v>
      </c>
      <c r="R167" s="10">
        <v>0.35580000000000001</v>
      </c>
      <c r="S167" s="10" t="s">
        <v>17</v>
      </c>
      <c r="T167" s="28">
        <v>0.58212765957446799</v>
      </c>
      <c r="U167" s="28">
        <v>0.68643740982797896</v>
      </c>
      <c r="V167" s="28">
        <v>0.213893107010205</v>
      </c>
      <c r="W167" s="28"/>
      <c r="X167" s="28"/>
      <c r="Y167" s="28"/>
    </row>
    <row r="168" spans="1:25" x14ac:dyDescent="0.3">
      <c r="A168" s="12">
        <v>38</v>
      </c>
      <c r="B168" s="12" t="s">
        <v>16</v>
      </c>
      <c r="C168" s="13">
        <f>MIN(Table1[[#This Row],[per_person]],64)*Table1[[#This Row],[truncate_num]]</f>
        <v>2432</v>
      </c>
      <c r="D168" s="11">
        <v>12</v>
      </c>
      <c r="E168" s="11">
        <v>12</v>
      </c>
      <c r="F168" s="11" t="s">
        <v>34</v>
      </c>
      <c r="G168" s="41" t="s">
        <v>38</v>
      </c>
      <c r="H168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68" s="14">
        <v>300</v>
      </c>
      <c r="J168" s="14" t="b">
        <v>0</v>
      </c>
      <c r="K168" s="14" t="s">
        <v>19</v>
      </c>
      <c r="L168" s="39">
        <f>MIN(Table1[[#This Row],[Features]],Table1[[#This Row],[components]])</f>
        <v>300</v>
      </c>
      <c r="M168" s="76" t="b">
        <v>0</v>
      </c>
      <c r="N168" s="77">
        <v>200</v>
      </c>
      <c r="O168" s="77" t="b">
        <v>0</v>
      </c>
      <c r="P168" s="78">
        <v>4</v>
      </c>
      <c r="Q168" s="39">
        <v>0.01</v>
      </c>
      <c r="R168" s="39">
        <v>0.10630000000000001</v>
      </c>
      <c r="S168" s="39" t="s">
        <v>17</v>
      </c>
      <c r="T168" s="28">
        <v>0.68638297872340404</v>
      </c>
      <c r="U168" s="28">
        <v>0.75586017452635101</v>
      </c>
      <c r="V168" s="28">
        <v>0.431905324611981</v>
      </c>
      <c r="W168" s="28"/>
      <c r="X168" s="28"/>
      <c r="Y168" s="28"/>
    </row>
    <row r="169" spans="1:25" x14ac:dyDescent="0.3">
      <c r="A169" s="6">
        <v>38</v>
      </c>
      <c r="B169" s="6" t="s">
        <v>16</v>
      </c>
      <c r="C169" s="7">
        <f>MIN(Table1[[#This Row],[per_person]],64)*Table1[[#This Row],[truncate_num]]</f>
        <v>2432</v>
      </c>
      <c r="D169" s="95">
        <v>12</v>
      </c>
      <c r="E169" s="95">
        <v>12</v>
      </c>
      <c r="F169" s="8" t="s">
        <v>34</v>
      </c>
      <c r="G169" s="42" t="s">
        <v>38</v>
      </c>
      <c r="H169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69" s="5">
        <v>300</v>
      </c>
      <c r="J169" s="5" t="b">
        <v>0</v>
      </c>
      <c r="K169" s="5" t="s">
        <v>19</v>
      </c>
      <c r="L169" s="10">
        <f>MIN(Table1[[#This Row],[Features]],Table1[[#This Row],[components]])</f>
        <v>300</v>
      </c>
      <c r="M169" s="79" t="b">
        <v>0</v>
      </c>
      <c r="N169" s="80">
        <v>20</v>
      </c>
      <c r="O169" s="80" t="b">
        <v>0</v>
      </c>
      <c r="P169" s="81">
        <v>3</v>
      </c>
      <c r="Q169" s="10">
        <v>2.4073599751170401E-2</v>
      </c>
      <c r="R169" s="10">
        <v>0.39910000000000001</v>
      </c>
      <c r="S169" s="10" t="s">
        <v>17</v>
      </c>
      <c r="T169" s="28">
        <v>0.99744680851063805</v>
      </c>
      <c r="U169" s="28">
        <v>0.99633871983184497</v>
      </c>
      <c r="V169" s="28">
        <v>0.99456906691949798</v>
      </c>
      <c r="W169" s="32"/>
      <c r="X169" s="32"/>
      <c r="Y169" s="32"/>
    </row>
    <row r="170" spans="1:25" x14ac:dyDescent="0.3">
      <c r="A170" s="12">
        <v>38</v>
      </c>
      <c r="B170" s="12" t="s">
        <v>16</v>
      </c>
      <c r="C170" s="13">
        <f>MIN(Table1[[#This Row],[per_person]],64)*Table1[[#This Row],[truncate_num]]</f>
        <v>2432</v>
      </c>
      <c r="D170" s="11">
        <v>12</v>
      </c>
      <c r="E170" s="11">
        <v>12</v>
      </c>
      <c r="F170" s="11" t="s">
        <v>34</v>
      </c>
      <c r="G170" s="41" t="s">
        <v>38</v>
      </c>
      <c r="H170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70" s="14">
        <v>300</v>
      </c>
      <c r="J170" s="14" t="b">
        <v>0</v>
      </c>
      <c r="K170" s="14" t="s">
        <v>19</v>
      </c>
      <c r="L170" s="39">
        <f>MIN(Table1[[#This Row],[Features]],Table1[[#This Row],[components]])</f>
        <v>300</v>
      </c>
      <c r="M170" s="76" t="b">
        <v>0</v>
      </c>
      <c r="N170" s="77">
        <v>70</v>
      </c>
      <c r="O170" s="77" t="b">
        <v>0</v>
      </c>
      <c r="P170" s="78">
        <v>4</v>
      </c>
      <c r="Q170" s="39">
        <v>2.8571428571428501E-2</v>
      </c>
      <c r="R170" s="39">
        <v>0.3211</v>
      </c>
      <c r="S170" s="39" t="s">
        <v>17</v>
      </c>
      <c r="T170" s="28">
        <v>0.84553191489361701</v>
      </c>
      <c r="U170" s="28">
        <v>0.88094156044558503</v>
      </c>
      <c r="V170" s="28">
        <v>0.57801414165654497</v>
      </c>
      <c r="W170" s="28"/>
      <c r="X170" s="28"/>
      <c r="Y170" s="28"/>
    </row>
    <row r="171" spans="1:25" x14ac:dyDescent="0.3">
      <c r="A171" s="6">
        <v>38</v>
      </c>
      <c r="B171" s="6" t="s">
        <v>16</v>
      </c>
      <c r="C171" s="7">
        <f>MIN(Table1[[#This Row],[per_person]],64)*Table1[[#This Row],[truncate_num]]</f>
        <v>2432</v>
      </c>
      <c r="D171" s="8">
        <v>12</v>
      </c>
      <c r="E171" s="8">
        <v>12</v>
      </c>
      <c r="F171" s="8" t="s">
        <v>34</v>
      </c>
      <c r="G171" s="42" t="s">
        <v>38</v>
      </c>
      <c r="H171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71" s="5">
        <v>300</v>
      </c>
      <c r="J171" s="47" t="b">
        <v>0</v>
      </c>
      <c r="K171" s="47" t="s">
        <v>19</v>
      </c>
      <c r="L171" s="10">
        <f>MIN(Table1[[#This Row],[Features]],Table1[[#This Row],[components]])</f>
        <v>300</v>
      </c>
      <c r="M171" s="79" t="b">
        <v>0</v>
      </c>
      <c r="N171" s="80">
        <v>12</v>
      </c>
      <c r="O171" s="80" t="b">
        <v>0</v>
      </c>
      <c r="P171" s="81">
        <v>8</v>
      </c>
      <c r="Q171" s="10">
        <v>6.1301471514606298E-2</v>
      </c>
      <c r="R171" s="10">
        <v>0.56340000000000001</v>
      </c>
      <c r="S171" s="10" t="s">
        <v>17</v>
      </c>
      <c r="T171" s="28">
        <v>0.95744680851063801</v>
      </c>
      <c r="U171" s="28">
        <v>0.98389354835054399</v>
      </c>
      <c r="V171" s="28">
        <v>0.95321032850915399</v>
      </c>
      <c r="W171" s="28"/>
      <c r="X171" s="28"/>
      <c r="Y171" s="28"/>
    </row>
    <row r="172" spans="1:25" x14ac:dyDescent="0.3">
      <c r="A172" s="12">
        <v>38</v>
      </c>
      <c r="B172" s="12" t="s">
        <v>16</v>
      </c>
      <c r="C172" s="13">
        <f>MIN(Table1[[#This Row],[per_person]],64)*Table1[[#This Row],[truncate_num]]</f>
        <v>2432</v>
      </c>
      <c r="D172" s="11">
        <v>12</v>
      </c>
      <c r="E172" s="11">
        <v>12</v>
      </c>
      <c r="F172" s="11" t="s">
        <v>34</v>
      </c>
      <c r="G172" s="41" t="s">
        <v>38</v>
      </c>
      <c r="H172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72" s="14">
        <v>300</v>
      </c>
      <c r="J172" s="14" t="b">
        <v>0</v>
      </c>
      <c r="K172" s="14" t="s">
        <v>19</v>
      </c>
      <c r="L172" s="39">
        <f>MIN(Table1[[#This Row],[Features]],Table1[[#This Row],[components]])</f>
        <v>300</v>
      </c>
      <c r="M172" s="76" t="b">
        <v>0</v>
      </c>
      <c r="N172" s="77">
        <v>150</v>
      </c>
      <c r="O172" s="77" t="b">
        <v>0</v>
      </c>
      <c r="P172" s="78">
        <v>6</v>
      </c>
      <c r="Q172" s="39">
        <v>1.3333333333333299E-2</v>
      </c>
      <c r="R172" s="39">
        <v>0.13539999999999999</v>
      </c>
      <c r="S172" s="39" t="s">
        <v>17</v>
      </c>
      <c r="T172" s="28">
        <v>0.59957446808510595</v>
      </c>
      <c r="U172" s="28">
        <v>0.68464339712668998</v>
      </c>
      <c r="V172" s="28">
        <v>0.27562201097769401</v>
      </c>
      <c r="W172" s="28"/>
      <c r="X172" s="28"/>
      <c r="Y172" s="28"/>
    </row>
    <row r="173" spans="1:25" x14ac:dyDescent="0.3">
      <c r="A173" s="6">
        <v>38</v>
      </c>
      <c r="B173" s="6" t="s">
        <v>16</v>
      </c>
      <c r="C173" s="7">
        <f>MIN(Table1[[#This Row],[per_person]],64)*Table1[[#This Row],[truncate_num]]</f>
        <v>2432</v>
      </c>
      <c r="D173" s="8">
        <v>12</v>
      </c>
      <c r="E173" s="8">
        <v>12</v>
      </c>
      <c r="F173" s="8" t="s">
        <v>34</v>
      </c>
      <c r="G173" s="42" t="s">
        <v>38</v>
      </c>
      <c r="H173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73" s="5">
        <v>300</v>
      </c>
      <c r="J173" s="5" t="b">
        <v>0</v>
      </c>
      <c r="K173" s="5" t="s">
        <v>19</v>
      </c>
      <c r="L173" s="10">
        <f>MIN(Table1[[#This Row],[Features]],Table1[[#This Row],[components]])</f>
        <v>300</v>
      </c>
      <c r="M173" s="79" t="b">
        <v>0</v>
      </c>
      <c r="N173" s="80">
        <v>90</v>
      </c>
      <c r="O173" s="80" t="b">
        <v>0</v>
      </c>
      <c r="P173" s="81">
        <v>4</v>
      </c>
      <c r="Q173" s="10">
        <v>2.2222222222222199E-2</v>
      </c>
      <c r="R173" s="10">
        <v>0.27689999999999998</v>
      </c>
      <c r="S173" s="10" t="s">
        <v>17</v>
      </c>
      <c r="T173" s="28">
        <v>0.78212765957446795</v>
      </c>
      <c r="U173" s="28">
        <v>0.86135372533752397</v>
      </c>
      <c r="V173" s="28">
        <v>0.58470293768098403</v>
      </c>
      <c r="W173" s="28"/>
      <c r="X173" s="28"/>
      <c r="Y173" s="28"/>
    </row>
    <row r="174" spans="1:25" x14ac:dyDescent="0.3">
      <c r="A174" s="12">
        <v>38</v>
      </c>
      <c r="B174" s="12" t="s">
        <v>16</v>
      </c>
      <c r="C174" s="13">
        <f>MIN(Table1[[#This Row],[per_person]],64)*Table1[[#This Row],[truncate_num]]</f>
        <v>2432</v>
      </c>
      <c r="D174" s="11">
        <v>12</v>
      </c>
      <c r="E174" s="11">
        <v>12</v>
      </c>
      <c r="F174" s="94" t="s">
        <v>34</v>
      </c>
      <c r="G174" s="96" t="s">
        <v>38</v>
      </c>
      <c r="H174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74" s="14">
        <v>300</v>
      </c>
      <c r="J174" s="14" t="b">
        <v>0</v>
      </c>
      <c r="K174" s="14" t="s">
        <v>19</v>
      </c>
      <c r="L174" s="39">
        <f>MIN(Table1[[#This Row],[Features]],Table1[[#This Row],[components]])</f>
        <v>300</v>
      </c>
      <c r="M174" s="76" t="b">
        <v>0</v>
      </c>
      <c r="N174" s="77">
        <v>11</v>
      </c>
      <c r="O174" s="77" t="b">
        <v>0</v>
      </c>
      <c r="P174" s="78">
        <v>4</v>
      </c>
      <c r="Q174" s="39">
        <v>3.6030413864675002E-2</v>
      </c>
      <c r="R174" s="39">
        <v>0.50329999999999997</v>
      </c>
      <c r="S174" s="39" t="s">
        <v>17</v>
      </c>
      <c r="T174" s="28">
        <v>0.94425531914893601</v>
      </c>
      <c r="U174" s="28">
        <v>0.98323849525606</v>
      </c>
      <c r="V174" s="28">
        <v>0.94223275036516796</v>
      </c>
      <c r="W174" s="28"/>
      <c r="X174" s="28"/>
      <c r="Y174" s="28"/>
    </row>
    <row r="175" spans="1:25" x14ac:dyDescent="0.3">
      <c r="A175" s="6">
        <v>38</v>
      </c>
      <c r="B175" s="6" t="s">
        <v>16</v>
      </c>
      <c r="C175" s="7">
        <f>MIN(Table1[[#This Row],[per_person]],64)*Table1[[#This Row],[truncate_num]]</f>
        <v>2432</v>
      </c>
      <c r="D175" s="8">
        <v>12</v>
      </c>
      <c r="E175" s="8">
        <v>12</v>
      </c>
      <c r="F175" s="8" t="s">
        <v>34</v>
      </c>
      <c r="G175" s="42" t="s">
        <v>38</v>
      </c>
      <c r="H175" s="10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75" s="5">
        <v>300</v>
      </c>
      <c r="J175" s="5" t="b">
        <v>0</v>
      </c>
      <c r="K175" s="5" t="s">
        <v>19</v>
      </c>
      <c r="L175" s="10">
        <f>MIN(Table1[[#This Row],[Features]],Table1[[#This Row],[components]])</f>
        <v>300</v>
      </c>
      <c r="M175" s="79" t="b">
        <v>0</v>
      </c>
      <c r="N175" s="80">
        <v>200</v>
      </c>
      <c r="O175" s="80" t="b">
        <v>0</v>
      </c>
      <c r="P175" s="81">
        <v>6</v>
      </c>
      <c r="Q175" s="10">
        <v>0.01</v>
      </c>
      <c r="R175" s="10">
        <v>0.10630000000000001</v>
      </c>
      <c r="S175" s="10" t="s">
        <v>17</v>
      </c>
      <c r="T175" s="28">
        <v>0.67234042553191498</v>
      </c>
      <c r="U175" s="28">
        <v>0.74898778997286097</v>
      </c>
      <c r="V175" s="28">
        <v>0.401250496698357</v>
      </c>
      <c r="W175" s="28"/>
      <c r="X175" s="28"/>
      <c r="Y175" s="28"/>
    </row>
    <row r="176" spans="1:25" ht="15" thickBot="1" x14ac:dyDescent="0.35">
      <c r="A176" s="12">
        <v>38</v>
      </c>
      <c r="B176" s="12" t="s">
        <v>16</v>
      </c>
      <c r="C176" s="13">
        <f>MIN(Table1[[#This Row],[per_person]],64)*Table1[[#This Row],[truncate_num]]</f>
        <v>2432</v>
      </c>
      <c r="D176" s="11">
        <v>12</v>
      </c>
      <c r="E176" s="11">
        <v>12</v>
      </c>
      <c r="F176" s="11" t="s">
        <v>34</v>
      </c>
      <c r="G176" s="41" t="s">
        <v>38</v>
      </c>
      <c r="H176" s="39">
        <f>IF(ISERROR(Table1[[#This Row],[gridSpacing]]+Table1[[#This Row],[patchSize]]),0,FLOOR((168-Table1[[#This Row],[patchSize]])/Table1[[#This Row],[gridSpacing]]+1, 1)*FLOOR((192-Table1[[#This Row],[patchSize]])/Table1[[#This Row],[gridSpacing]]+1, 1)*128)+IF(Table1[[#This Row],[concat]]="yes",168*192,0)</f>
        <v>28672</v>
      </c>
      <c r="I176" s="14">
        <v>300</v>
      </c>
      <c r="J176" s="14" t="b">
        <v>0</v>
      </c>
      <c r="K176" s="14" t="s">
        <v>19</v>
      </c>
      <c r="L176" s="39">
        <f>MIN(Table1[[#This Row],[Features]],Table1[[#This Row],[components]])</f>
        <v>300</v>
      </c>
      <c r="M176" s="88" t="b">
        <v>0</v>
      </c>
      <c r="N176" s="89">
        <v>64</v>
      </c>
      <c r="O176" s="89" t="b">
        <v>0</v>
      </c>
      <c r="P176" s="90">
        <v>80</v>
      </c>
      <c r="Q176" s="39">
        <v>5.2336950014277603E-4</v>
      </c>
      <c r="R176" s="39">
        <v>0.23769999999999999</v>
      </c>
      <c r="S176" s="39" t="s">
        <v>17</v>
      </c>
      <c r="T176" s="82">
        <v>0.53063829787233996</v>
      </c>
      <c r="U176" s="82">
        <v>0.65052833617074501</v>
      </c>
      <c r="V176" s="82">
        <v>0.158631153985728</v>
      </c>
      <c r="W176" s="82"/>
      <c r="X176" s="82"/>
      <c r="Y176" s="82"/>
    </row>
    <row r="177" spans="1:25" x14ac:dyDescent="0.3">
      <c r="A177" s="28"/>
      <c r="B177" s="28"/>
      <c r="C177" s="28"/>
      <c r="D177" s="28"/>
      <c r="E177" s="28"/>
      <c r="F177" s="28"/>
      <c r="G177" s="84"/>
      <c r="H177" s="83"/>
      <c r="I177" s="28"/>
      <c r="J177" s="28"/>
      <c r="K177" s="28"/>
      <c r="L177" s="83"/>
      <c r="M177" s="28"/>
      <c r="N177" s="28"/>
      <c r="P177" t="s">
        <v>59</v>
      </c>
      <c r="Q177" s="105" t="s">
        <v>57</v>
      </c>
      <c r="R177" s="105"/>
      <c r="S177" s="105"/>
      <c r="T177">
        <v>0.99787234042553197</v>
      </c>
      <c r="U177">
        <v>0.99695112729703605</v>
      </c>
      <c r="V177">
        <v>0.99549151746959996</v>
      </c>
      <c r="W177" s="28"/>
    </row>
    <row r="178" spans="1:25" x14ac:dyDescent="0.3">
      <c r="A178" s="28"/>
      <c r="B178" s="28"/>
      <c r="C178" s="28"/>
      <c r="D178" s="28"/>
      <c r="E178" s="28"/>
      <c r="F178" s="28"/>
      <c r="G178" s="84"/>
      <c r="H178" s="83"/>
      <c r="I178" s="28"/>
      <c r="J178" s="28"/>
      <c r="K178" s="28"/>
      <c r="L178" s="83"/>
      <c r="M178" s="28"/>
      <c r="N178" s="28"/>
      <c r="O178" s="28"/>
      <c r="P178" s="28"/>
      <c r="Q178" s="100" t="s">
        <v>58</v>
      </c>
      <c r="R178" s="100"/>
      <c r="S178" s="100"/>
      <c r="T178" s="28">
        <v>0.90680851063829704</v>
      </c>
      <c r="U178" s="28">
        <v>0.963999632496369</v>
      </c>
      <c r="V178" s="28">
        <v>0.88329945932684895</v>
      </c>
      <c r="W178" s="28"/>
    </row>
    <row r="179" spans="1:25" x14ac:dyDescent="0.3">
      <c r="A179" s="28"/>
      <c r="B179" s="28"/>
      <c r="C179" s="28"/>
      <c r="D179" s="28"/>
      <c r="E179" s="28"/>
      <c r="F179" s="28"/>
      <c r="G179" s="84"/>
      <c r="H179" s="83"/>
      <c r="I179" s="28"/>
      <c r="J179" s="28"/>
      <c r="K179" s="28"/>
      <c r="L179" s="83"/>
      <c r="M179" s="28"/>
      <c r="N179" s="28"/>
      <c r="O179" s="98" t="s">
        <v>56</v>
      </c>
      <c r="P179" s="98"/>
      <c r="Q179" s="98"/>
      <c r="R179" s="98"/>
      <c r="S179" s="98"/>
      <c r="T179" s="99" t="s">
        <v>60</v>
      </c>
      <c r="U179" s="99"/>
      <c r="V179" s="99"/>
      <c r="W179" s="28"/>
      <c r="X179" s="28"/>
      <c r="Y179" s="28"/>
    </row>
    <row r="180" spans="1:25" x14ac:dyDescent="0.3">
      <c r="A180" s="28"/>
      <c r="B180" s="28"/>
      <c r="C180" s="28"/>
      <c r="D180" s="28"/>
      <c r="E180" s="28"/>
      <c r="F180" s="28"/>
      <c r="G180" s="84"/>
      <c r="H180" s="83"/>
      <c r="I180" s="28"/>
      <c r="J180" s="28"/>
      <c r="K180" s="28"/>
      <c r="L180" s="83"/>
      <c r="M180" s="28"/>
      <c r="N180" s="28"/>
      <c r="O180" s="28"/>
      <c r="P180" s="28"/>
      <c r="Q180" s="83"/>
      <c r="R180" s="83"/>
      <c r="S180" s="83"/>
      <c r="T180" s="28"/>
      <c r="U180" s="28"/>
      <c r="V180" s="28"/>
      <c r="W180" s="28"/>
      <c r="X180" s="28"/>
      <c r="Y180" s="28"/>
    </row>
    <row r="181" spans="1:25" x14ac:dyDescent="0.3">
      <c r="A181" s="28"/>
      <c r="B181" s="28"/>
      <c r="C181" s="28"/>
      <c r="D181" s="28"/>
      <c r="E181" s="28"/>
      <c r="F181" s="28"/>
      <c r="G181" s="84"/>
      <c r="H181" s="83"/>
      <c r="I181" s="28"/>
      <c r="J181" s="28"/>
      <c r="K181" s="28"/>
      <c r="L181" s="83"/>
      <c r="M181" s="28"/>
      <c r="N181" s="28"/>
      <c r="O181" s="28"/>
      <c r="P181" s="28"/>
      <c r="Q181" s="83"/>
      <c r="R181" s="83"/>
      <c r="S181" s="83"/>
      <c r="T181" s="28"/>
      <c r="U181" s="28"/>
      <c r="V181" s="28"/>
      <c r="W181" s="28"/>
      <c r="X181" s="28"/>
      <c r="Y181" s="28"/>
    </row>
    <row r="182" spans="1:25" x14ac:dyDescent="0.3">
      <c r="A182" s="28"/>
      <c r="B182" s="28"/>
      <c r="C182" s="28"/>
      <c r="D182" s="28"/>
      <c r="E182" s="28"/>
      <c r="F182" s="28"/>
      <c r="G182" s="84"/>
      <c r="H182" s="83"/>
      <c r="I182" s="28"/>
      <c r="J182" s="28"/>
      <c r="K182" s="28"/>
      <c r="L182" s="83"/>
      <c r="M182" s="28"/>
      <c r="N182" s="28"/>
      <c r="O182" s="28"/>
      <c r="P182" s="28"/>
      <c r="Q182" s="83"/>
      <c r="R182" s="83"/>
      <c r="S182" s="83"/>
      <c r="T182" s="28"/>
      <c r="U182" s="28"/>
      <c r="V182" s="28"/>
      <c r="W182" s="28"/>
      <c r="X182" s="28"/>
      <c r="Y182" s="28"/>
    </row>
    <row r="183" spans="1:25" x14ac:dyDescent="0.3">
      <c r="A183" s="28"/>
      <c r="B183" s="28"/>
      <c r="C183" s="28"/>
      <c r="D183" s="28"/>
      <c r="E183" s="28"/>
      <c r="F183" s="28"/>
      <c r="G183" s="84"/>
      <c r="H183" s="83"/>
      <c r="I183" s="28"/>
      <c r="J183" s="28"/>
      <c r="K183" s="28"/>
      <c r="L183" s="83"/>
      <c r="M183" s="28"/>
      <c r="N183" s="28"/>
      <c r="O183" s="28"/>
      <c r="P183" s="28"/>
      <c r="Q183" s="83"/>
      <c r="R183" s="83"/>
      <c r="S183" s="83"/>
      <c r="T183" s="28"/>
      <c r="U183" s="28"/>
      <c r="V183" s="28"/>
      <c r="W183" s="28"/>
      <c r="X183" s="28"/>
      <c r="Y183" s="28"/>
    </row>
    <row r="184" spans="1:25" x14ac:dyDescent="0.3">
      <c r="A184" s="28"/>
      <c r="B184" s="28"/>
      <c r="C184" s="28"/>
      <c r="D184" s="28"/>
      <c r="E184" s="28"/>
      <c r="F184" s="28"/>
      <c r="G184" s="84"/>
      <c r="H184" s="83"/>
      <c r="I184" s="28"/>
      <c r="J184" s="28"/>
      <c r="K184" s="28"/>
      <c r="L184" s="83"/>
      <c r="M184" s="28"/>
      <c r="N184" s="28"/>
      <c r="O184" s="28"/>
      <c r="P184" s="28"/>
      <c r="Q184" s="83"/>
      <c r="R184" s="83"/>
      <c r="S184" s="83"/>
      <c r="T184" s="28"/>
      <c r="U184" s="28"/>
      <c r="V184" s="28"/>
      <c r="W184" s="28"/>
      <c r="X184" s="28"/>
      <c r="Y184" s="28"/>
    </row>
    <row r="185" spans="1:25" x14ac:dyDescent="0.3">
      <c r="A185" s="28"/>
      <c r="B185" s="28"/>
      <c r="C185" s="28"/>
      <c r="D185" s="28"/>
      <c r="E185" s="28"/>
      <c r="F185" s="28"/>
      <c r="G185" s="84"/>
      <c r="H185" s="83"/>
      <c r="I185" s="28"/>
      <c r="J185" s="28"/>
      <c r="K185" s="28"/>
      <c r="L185" s="83"/>
      <c r="M185" s="28"/>
      <c r="N185" s="28"/>
      <c r="O185" s="28"/>
      <c r="P185" s="28"/>
      <c r="Q185" s="83"/>
      <c r="R185" s="83"/>
      <c r="S185" s="83"/>
      <c r="T185" s="28"/>
      <c r="U185" s="28"/>
      <c r="V185" s="28"/>
      <c r="W185" s="28"/>
      <c r="X185" s="28"/>
      <c r="Y185" s="28"/>
    </row>
    <row r="186" spans="1:25" x14ac:dyDescent="0.3">
      <c r="A186" s="28"/>
      <c r="B186" s="28"/>
      <c r="C186" s="28"/>
      <c r="D186" s="28"/>
      <c r="E186" s="28"/>
      <c r="F186" s="28"/>
      <c r="G186" s="84"/>
      <c r="H186" s="83"/>
      <c r="I186" s="28"/>
      <c r="J186" s="28"/>
      <c r="K186" s="28"/>
      <c r="L186" s="83"/>
      <c r="M186" s="28"/>
      <c r="N186" s="28"/>
      <c r="O186" s="28"/>
      <c r="P186" s="28"/>
      <c r="Q186" s="83"/>
      <c r="R186" s="83"/>
      <c r="S186" s="83"/>
      <c r="T186" s="28"/>
      <c r="U186" s="28"/>
      <c r="V186" s="28"/>
      <c r="W186" s="28"/>
      <c r="X186" s="28"/>
      <c r="Y186" s="28"/>
    </row>
    <row r="187" spans="1:25" x14ac:dyDescent="0.3">
      <c r="A187" s="28"/>
      <c r="B187" s="28"/>
      <c r="C187" s="28"/>
      <c r="D187" s="28"/>
      <c r="E187" s="28"/>
      <c r="F187" s="28"/>
      <c r="G187" s="84"/>
      <c r="H187" s="83"/>
      <c r="I187" s="28"/>
      <c r="J187" s="28"/>
      <c r="K187" s="28"/>
      <c r="L187" s="83"/>
      <c r="M187" s="28"/>
      <c r="N187" s="28"/>
      <c r="O187" s="28"/>
      <c r="P187" s="28"/>
      <c r="Q187" s="83"/>
      <c r="R187" s="83"/>
      <c r="S187" s="83"/>
      <c r="T187" s="28"/>
      <c r="U187" s="28"/>
      <c r="V187" s="28"/>
      <c r="W187" s="28"/>
      <c r="X187" s="28"/>
      <c r="Y187" s="28"/>
    </row>
    <row r="188" spans="1:25" x14ac:dyDescent="0.3">
      <c r="A188" s="28"/>
      <c r="B188" s="28"/>
      <c r="C188" s="28"/>
      <c r="D188" s="28"/>
      <c r="E188" s="28"/>
      <c r="F188" s="28"/>
      <c r="G188" s="84"/>
      <c r="H188" s="83"/>
      <c r="I188" s="28"/>
      <c r="J188" s="28"/>
      <c r="K188" s="28"/>
      <c r="L188" s="83"/>
      <c r="M188" s="28"/>
      <c r="N188" s="28"/>
      <c r="O188" s="28"/>
      <c r="P188" s="28"/>
      <c r="Q188" s="83"/>
      <c r="R188" s="83"/>
      <c r="S188" s="83"/>
      <c r="T188" s="28"/>
      <c r="U188" s="28"/>
      <c r="V188" s="28"/>
      <c r="W188" s="28"/>
      <c r="X188" s="28"/>
      <c r="Y188" s="28"/>
    </row>
    <row r="189" spans="1:25" x14ac:dyDescent="0.3">
      <c r="A189" s="28"/>
      <c r="B189" s="28"/>
      <c r="C189" s="28"/>
      <c r="D189" s="28"/>
      <c r="E189" s="28"/>
      <c r="F189" s="28"/>
      <c r="G189" s="84"/>
      <c r="H189" s="83"/>
      <c r="I189" s="28"/>
      <c r="J189" s="28"/>
      <c r="K189" s="28"/>
      <c r="L189" s="83"/>
      <c r="M189" s="28"/>
      <c r="N189" s="28"/>
      <c r="O189" s="28"/>
      <c r="P189" s="28"/>
      <c r="Q189" s="83"/>
      <c r="R189" s="83"/>
      <c r="S189" s="83"/>
      <c r="T189" s="28"/>
      <c r="U189" s="28"/>
      <c r="V189" s="28"/>
      <c r="W189" s="28"/>
      <c r="X189" s="28"/>
      <c r="Y189" s="28"/>
    </row>
    <row r="190" spans="1:25" x14ac:dyDescent="0.3">
      <c r="A190" s="28"/>
      <c r="B190" s="28"/>
      <c r="C190" s="28"/>
      <c r="D190" s="28"/>
      <c r="E190" s="28"/>
      <c r="F190" s="28"/>
      <c r="G190" s="84"/>
      <c r="H190" s="83"/>
      <c r="I190" s="28"/>
      <c r="J190" s="28"/>
      <c r="K190" s="28"/>
      <c r="L190" s="83"/>
      <c r="M190" s="28"/>
      <c r="N190" s="28"/>
      <c r="O190" s="28"/>
      <c r="P190" s="28"/>
      <c r="Q190" s="83"/>
      <c r="R190" s="83"/>
      <c r="S190" s="83"/>
      <c r="T190" s="28"/>
      <c r="U190" s="28"/>
      <c r="V190" s="28"/>
      <c r="W190" s="28"/>
      <c r="X190" s="28"/>
      <c r="Y190" s="28"/>
    </row>
    <row r="191" spans="1:25" x14ac:dyDescent="0.3">
      <c r="K191" s="28"/>
      <c r="L191" s="28"/>
      <c r="M191" s="28"/>
      <c r="N191" s="28"/>
      <c r="O191" s="28"/>
      <c r="P191" s="28"/>
      <c r="Q191" s="83"/>
      <c r="R191" s="83"/>
      <c r="S191" s="83"/>
    </row>
    <row r="192" spans="1:25" x14ac:dyDescent="0.3">
      <c r="K192" s="28"/>
      <c r="L192" s="28"/>
      <c r="M192" s="28"/>
      <c r="N192" s="28"/>
      <c r="O192" s="28"/>
      <c r="P192" s="28"/>
    </row>
    <row r="193" spans="11:16" x14ac:dyDescent="0.3">
      <c r="K193" s="28"/>
      <c r="L193" s="28"/>
      <c r="M193" s="28"/>
      <c r="N193" s="28"/>
      <c r="O193" s="28"/>
      <c r="P193" s="28"/>
    </row>
    <row r="194" spans="11:16" x14ac:dyDescent="0.3">
      <c r="K194" s="28"/>
      <c r="L194" s="28"/>
      <c r="M194" s="28"/>
      <c r="N194" s="28"/>
      <c r="O194" s="28"/>
      <c r="P194" s="28"/>
    </row>
    <row r="195" spans="11:16" x14ac:dyDescent="0.3">
      <c r="K195" s="28"/>
      <c r="L195" s="28"/>
      <c r="M195" s="28"/>
      <c r="N195" s="28"/>
      <c r="O195" s="28"/>
      <c r="P195" s="28"/>
    </row>
    <row r="196" spans="11:16" x14ac:dyDescent="0.3">
      <c r="K196" s="28"/>
      <c r="L196" s="28"/>
      <c r="M196" s="28"/>
      <c r="N196" s="28"/>
      <c r="O196" s="28"/>
      <c r="P196" s="28"/>
    </row>
    <row r="197" spans="11:16" x14ac:dyDescent="0.3">
      <c r="K197" s="28"/>
      <c r="L197" s="28"/>
      <c r="M197" s="28"/>
      <c r="N197" s="28"/>
      <c r="O197" s="28"/>
      <c r="P197" s="28"/>
    </row>
    <row r="198" spans="11:16" x14ac:dyDescent="0.3">
      <c r="K198" s="28"/>
      <c r="L198" s="28"/>
      <c r="M198" s="28"/>
      <c r="N198" s="28"/>
      <c r="O198" s="28"/>
      <c r="P198" s="28"/>
    </row>
    <row r="199" spans="11:16" x14ac:dyDescent="0.3">
      <c r="K199" s="28"/>
      <c r="L199" s="28"/>
      <c r="M199" s="28"/>
      <c r="N199" s="28"/>
      <c r="O199" s="28"/>
      <c r="P199" s="28"/>
    </row>
    <row r="200" spans="11:16" x14ac:dyDescent="0.3">
      <c r="K200" s="28"/>
      <c r="L200" s="28"/>
      <c r="M200" s="28"/>
      <c r="N200" s="28"/>
      <c r="O200" s="28"/>
      <c r="P200" s="28"/>
    </row>
    <row r="201" spans="11:16" x14ac:dyDescent="0.3">
      <c r="K201" s="28"/>
      <c r="L201" s="28"/>
      <c r="M201" s="28"/>
      <c r="N201" s="28"/>
      <c r="O201" s="28"/>
      <c r="P201" s="28"/>
    </row>
    <row r="202" spans="11:16" x14ac:dyDescent="0.3">
      <c r="K202" s="28"/>
      <c r="L202" s="28"/>
      <c r="M202" s="28"/>
      <c r="N202" s="28"/>
      <c r="O202" s="28"/>
      <c r="P202" s="28"/>
    </row>
    <row r="203" spans="11:16" x14ac:dyDescent="0.3">
      <c r="K203" s="28"/>
      <c r="L203" s="28"/>
      <c r="M203" s="28"/>
      <c r="N203" s="28"/>
      <c r="O203" s="28"/>
      <c r="P203" s="28"/>
    </row>
    <row r="204" spans="11:16" x14ac:dyDescent="0.3">
      <c r="K204" s="28"/>
      <c r="L204" s="28"/>
      <c r="M204" s="28"/>
      <c r="N204" s="28"/>
      <c r="O204" s="28"/>
      <c r="P204" s="28"/>
    </row>
    <row r="205" spans="11:16" x14ac:dyDescent="0.3">
      <c r="K205" s="28"/>
      <c r="L205" s="28"/>
      <c r="M205" s="28"/>
      <c r="N205" s="28"/>
      <c r="O205" s="28"/>
      <c r="P205" s="28"/>
    </row>
    <row r="206" spans="11:16" x14ac:dyDescent="0.3">
      <c r="K206" s="28"/>
      <c r="L206" s="28"/>
      <c r="M206" s="28"/>
      <c r="N206" s="28"/>
      <c r="O206" s="28"/>
      <c r="P206" s="28"/>
    </row>
    <row r="207" spans="11:16" x14ac:dyDescent="0.3">
      <c r="K207" s="28"/>
      <c r="L207" s="28"/>
      <c r="M207" s="28"/>
      <c r="N207" s="28"/>
      <c r="O207" s="28"/>
      <c r="P207" s="28"/>
    </row>
    <row r="208" spans="11:16" x14ac:dyDescent="0.3">
      <c r="K208" s="28"/>
      <c r="L208" s="28"/>
      <c r="M208" s="28"/>
      <c r="N208" s="28"/>
      <c r="O208" s="28"/>
      <c r="P208" s="28"/>
    </row>
    <row r="209" spans="11:16" x14ac:dyDescent="0.3">
      <c r="K209" s="28"/>
      <c r="L209" s="28"/>
      <c r="M209" s="28"/>
      <c r="N209" s="28"/>
      <c r="O209" s="28"/>
      <c r="P209" s="28"/>
    </row>
    <row r="210" spans="11:16" x14ac:dyDescent="0.3">
      <c r="K210" s="28"/>
      <c r="L210" s="28"/>
      <c r="M210" s="28"/>
      <c r="N210" s="28"/>
      <c r="O210" s="28"/>
      <c r="P210" s="28"/>
    </row>
  </sheetData>
  <mergeCells count="14">
    <mergeCell ref="I1:L1"/>
    <mergeCell ref="A1:C1"/>
    <mergeCell ref="W1:Y1"/>
    <mergeCell ref="T1:V1"/>
    <mergeCell ref="D1:H1"/>
    <mergeCell ref="M1:S1"/>
    <mergeCell ref="O179:S179"/>
    <mergeCell ref="T179:V179"/>
    <mergeCell ref="Q178:S178"/>
    <mergeCell ref="Z27:AC32"/>
    <mergeCell ref="Z8:AA8"/>
    <mergeCell ref="Z19:AC24"/>
    <mergeCell ref="AB87:AC91"/>
    <mergeCell ref="Q177:S177"/>
  </mergeCells>
  <conditionalFormatting sqref="W3:W1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1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:Y1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2:W1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2:X1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2:Y1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:V6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64:U178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64:V178"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64:T178">
    <cfRule type="colorScale" priority="2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4294967293" verticalDpi="4294967293" r:id="rId1"/>
  <ignoredErrors>
    <ignoredError sqref="G3:G27 G43:G44" twoDigitTextYear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8733A-E1FF-4032-A76A-0DA776A536BC}">
  <dimension ref="A1:AC27"/>
  <sheetViews>
    <sheetView topLeftCell="B1" workbookViewId="0">
      <selection activeCell="E18" sqref="E18"/>
    </sheetView>
  </sheetViews>
  <sheetFormatPr defaultRowHeight="14.4" x14ac:dyDescent="0.3"/>
  <sheetData>
    <row r="1" spans="1:29" x14ac:dyDescent="0.3">
      <c r="C1" s="30">
        <v>2</v>
      </c>
      <c r="D1" s="30">
        <f t="shared" ref="D1:AA1" si="0">C1*SQRT(2)</f>
        <v>2.8284271247461903</v>
      </c>
      <c r="E1" s="30">
        <f t="shared" si="0"/>
        <v>4.0000000000000009</v>
      </c>
      <c r="F1" s="30">
        <f t="shared" si="0"/>
        <v>5.6568542494923815</v>
      </c>
      <c r="G1" s="30">
        <f t="shared" si="0"/>
        <v>8.0000000000000018</v>
      </c>
      <c r="H1" s="30">
        <f t="shared" si="0"/>
        <v>11.313708498984763</v>
      </c>
      <c r="I1" s="30">
        <f t="shared" si="0"/>
        <v>16.000000000000004</v>
      </c>
      <c r="J1" s="30">
        <f t="shared" si="0"/>
        <v>22.627416997969526</v>
      </c>
      <c r="K1" s="30">
        <f t="shared" si="0"/>
        <v>32.000000000000007</v>
      </c>
      <c r="L1" s="30">
        <f t="shared" si="0"/>
        <v>45.254833995939052</v>
      </c>
      <c r="M1" s="30">
        <f t="shared" si="0"/>
        <v>64.000000000000014</v>
      </c>
      <c r="N1" s="30">
        <f t="shared" si="0"/>
        <v>90.509667991878104</v>
      </c>
      <c r="O1" s="30">
        <f t="shared" si="0"/>
        <v>128.00000000000003</v>
      </c>
      <c r="P1" s="30">
        <f t="shared" si="0"/>
        <v>181.01933598375621</v>
      </c>
      <c r="Q1" s="30">
        <f t="shared" si="0"/>
        <v>256.00000000000006</v>
      </c>
      <c r="R1" s="30">
        <f t="shared" si="0"/>
        <v>362.03867196751241</v>
      </c>
      <c r="S1" s="30">
        <f t="shared" si="0"/>
        <v>512.00000000000011</v>
      </c>
      <c r="T1" s="30">
        <f t="shared" si="0"/>
        <v>724.07734393502483</v>
      </c>
      <c r="U1" s="30">
        <f t="shared" si="0"/>
        <v>1024.0000000000002</v>
      </c>
      <c r="V1" s="30">
        <f t="shared" si="0"/>
        <v>1448.1546878700497</v>
      </c>
      <c r="W1" s="30">
        <f t="shared" si="0"/>
        <v>2048.0000000000005</v>
      </c>
      <c r="X1" s="30">
        <f t="shared" si="0"/>
        <v>2896.3093757400993</v>
      </c>
      <c r="Y1" s="30">
        <f t="shared" si="0"/>
        <v>4096.0000000000009</v>
      </c>
      <c r="Z1" s="30">
        <f t="shared" si="0"/>
        <v>5792.6187514801986</v>
      </c>
      <c r="AA1" s="30">
        <f t="shared" si="0"/>
        <v>8192.0000000000018</v>
      </c>
      <c r="AB1" s="30">
        <f>AA1*SQRT(2)</f>
        <v>11585.237502960397</v>
      </c>
      <c r="AC1" s="30">
        <f>AB1*SQRT(2)</f>
        <v>16384.000000000004</v>
      </c>
    </row>
    <row r="2" spans="1:29" x14ac:dyDescent="0.3">
      <c r="A2" s="93">
        <v>0</v>
      </c>
      <c r="B2" s="29">
        <f>POWER(2,A2)</f>
        <v>1</v>
      </c>
      <c r="C2">
        <f t="array" ref="C2:AC25">RegularizeData3D(Main!P64:P176,Main!N64:N176,Main!T64:T176,C27,C1:AC1,B2:B25)</f>
        <v>1.8850978156650038E-2</v>
      </c>
      <c r="D2">
        <v>-3.8572461799397828E-2</v>
      </c>
      <c r="E2">
        <v>-0.10032620100429955</v>
      </c>
      <c r="F2">
        <v>-0.18288704881855511</v>
      </c>
      <c r="G2">
        <v>-0.24002568393593304</v>
      </c>
      <c r="H2">
        <v>-0.23582688637674751</v>
      </c>
      <c r="I2">
        <v>-0.15589307468585517</v>
      </c>
      <c r="J2">
        <v>-3.099613223715221E-2</v>
      </c>
      <c r="K2">
        <v>4.7249096838267057E-2</v>
      </c>
      <c r="L2">
        <v>0.15560232310191455</v>
      </c>
      <c r="M2">
        <v>-8.8029647509324987E-2</v>
      </c>
      <c r="N2">
        <v>3.0513029764919358E-2</v>
      </c>
      <c r="O2">
        <v>2.7956393716033784E-2</v>
      </c>
      <c r="P2">
        <v>8.1818519371322285E-2</v>
      </c>
      <c r="Q2">
        <v>0.66996600533819506</v>
      </c>
      <c r="R2">
        <v>0.95238191886098311</v>
      </c>
      <c r="S2">
        <v>0.95696111847078513</v>
      </c>
      <c r="T2">
        <v>1.037148566774557</v>
      </c>
      <c r="U2">
        <v>1.0721862448579262</v>
      </c>
      <c r="V2">
        <v>1.0725134501694353</v>
      </c>
      <c r="W2">
        <v>1.0328365996311761</v>
      </c>
      <c r="X2">
        <v>0.9594381881316475</v>
      </c>
      <c r="Y2">
        <v>0.84992036787417191</v>
      </c>
      <c r="Z2">
        <v>0.69317540706777525</v>
      </c>
      <c r="AA2">
        <v>0.47406420289163942</v>
      </c>
      <c r="AB2">
        <v>0.16769680928661013</v>
      </c>
      <c r="AC2">
        <v>-0.26471377757975117</v>
      </c>
    </row>
    <row r="3" spans="1:29" x14ac:dyDescent="0.3">
      <c r="A3" s="93">
        <v>0.33333333333333298</v>
      </c>
      <c r="B3" s="29">
        <f t="shared" ref="B3:B25" si="1">POWER(2,A3)</f>
        <v>1.259921049894873</v>
      </c>
      <c r="C3">
        <v>1.9065704124131451E-2</v>
      </c>
      <c r="D3">
        <v>-2.9973690154555772E-2</v>
      </c>
      <c r="E3">
        <v>-8.3582229467060537E-2</v>
      </c>
      <c r="F3">
        <v>-0.13559585311314437</v>
      </c>
      <c r="G3">
        <v>-0.16904984793112934</v>
      </c>
      <c r="H3">
        <v>-0.15319792021050452</v>
      </c>
      <c r="I3">
        <v>-7.2018029299685635E-2</v>
      </c>
      <c r="J3">
        <v>4.8978283691962957E-2</v>
      </c>
      <c r="K3">
        <v>0.12934017842073825</v>
      </c>
      <c r="L3">
        <v>0.20331831262128919</v>
      </c>
      <c r="M3">
        <v>-4.2365954619108546E-2</v>
      </c>
      <c r="N3">
        <v>6.2405478047458163E-2</v>
      </c>
      <c r="O3">
        <v>5.5160614808992203E-2</v>
      </c>
      <c r="P3">
        <v>0.10399261797939674</v>
      </c>
      <c r="Q3">
        <v>0.67684217751108744</v>
      </c>
      <c r="R3">
        <v>0.95243044486182926</v>
      </c>
      <c r="S3">
        <v>0.95590828488654589</v>
      </c>
      <c r="T3">
        <v>1.0341021009330846</v>
      </c>
      <c r="U3">
        <v>1.0685945641591077</v>
      </c>
      <c r="V3">
        <v>1.0691046284879056</v>
      </c>
      <c r="W3">
        <v>1.0300266612797189</v>
      </c>
      <c r="X3">
        <v>0.95683276027871822</v>
      </c>
      <c r="Y3">
        <v>0.85117798589380478</v>
      </c>
      <c r="Z3">
        <v>0.70299388007095598</v>
      </c>
      <c r="AA3">
        <v>0.48858347374582684</v>
      </c>
      <c r="AB3">
        <v>0.17916479551254544</v>
      </c>
      <c r="AC3">
        <v>-0.25992808166882941</v>
      </c>
    </row>
    <row r="4" spans="1:29" x14ac:dyDescent="0.3">
      <c r="A4" s="93">
        <v>0.66666666666666596</v>
      </c>
      <c r="B4" s="29">
        <f t="shared" si="1"/>
        <v>1.5874010519681987</v>
      </c>
      <c r="C4">
        <v>1.9359909087792372E-2</v>
      </c>
      <c r="D4">
        <v>-1.8888664493730133E-2</v>
      </c>
      <c r="E4">
        <v>-6.2590219363053354E-2</v>
      </c>
      <c r="F4">
        <v>-7.6012680169199445E-2</v>
      </c>
      <c r="G4">
        <v>-7.96258981147909E-2</v>
      </c>
      <c r="H4">
        <v>-4.9091946406603693E-2</v>
      </c>
      <c r="I4">
        <v>3.3657905943239842E-2</v>
      </c>
      <c r="J4">
        <v>0.14973973377409849</v>
      </c>
      <c r="K4">
        <v>0.23238851101119565</v>
      </c>
      <c r="L4">
        <v>0.26343669223219862</v>
      </c>
      <c r="M4">
        <v>1.5166479087733217E-2</v>
      </c>
      <c r="N4">
        <v>0.10257651865998411</v>
      </c>
      <c r="O4">
        <v>8.9430028590256019E-2</v>
      </c>
      <c r="P4">
        <v>0.13193023192324163</v>
      </c>
      <c r="Q4">
        <v>0.68550561182285252</v>
      </c>
      <c r="R4">
        <v>0.95249158221946972</v>
      </c>
      <c r="S4">
        <v>0.95458180136457615</v>
      </c>
      <c r="T4">
        <v>1.0302637959370631</v>
      </c>
      <c r="U4">
        <v>1.0640693404752271</v>
      </c>
      <c r="V4">
        <v>1.0648097866023725</v>
      </c>
      <c r="W4">
        <v>1.0264863616373159</v>
      </c>
      <c r="X4">
        <v>0.95355013242540754</v>
      </c>
      <c r="Y4">
        <v>0.85276211861224105</v>
      </c>
      <c r="Z4">
        <v>0.71536328021931173</v>
      </c>
      <c r="AA4">
        <v>0.50687759859028581</v>
      </c>
      <c r="AB4">
        <v>0.19361515293012369</v>
      </c>
      <c r="AC4">
        <v>-0.25389963052707648</v>
      </c>
    </row>
    <row r="5" spans="1:29" x14ac:dyDescent="0.3">
      <c r="A5" s="93">
        <v>0.999999999999999</v>
      </c>
      <c r="B5" s="29">
        <f t="shared" si="1"/>
        <v>1.9999999999999987</v>
      </c>
      <c r="C5">
        <v>1.9762526881484967E-2</v>
      </c>
      <c r="D5">
        <v>-4.1124028678011541E-3</v>
      </c>
      <c r="E5">
        <v>-3.5890874426484524E-2</v>
      </c>
      <c r="F5">
        <v>-1.2633999961348156E-3</v>
      </c>
      <c r="G5">
        <v>3.3041218623556287E-2</v>
      </c>
      <c r="H5">
        <v>8.207336140873546E-2</v>
      </c>
      <c r="I5">
        <v>0.16680124122314291</v>
      </c>
      <c r="J5">
        <v>0.27669120575049261</v>
      </c>
      <c r="K5">
        <v>0.36050396444283039</v>
      </c>
      <c r="L5">
        <v>0.33918110418385422</v>
      </c>
      <c r="M5">
        <v>8.7651835301824035E-2</v>
      </c>
      <c r="N5">
        <v>0.1531394731193694</v>
      </c>
      <c r="O5">
        <v>0.13258076352710088</v>
      </c>
      <c r="P5">
        <v>0.16712942158684199</v>
      </c>
      <c r="Q5">
        <v>0.6964208563538955</v>
      </c>
      <c r="R5">
        <v>0.95256860238189978</v>
      </c>
      <c r="S5">
        <v>0.95291055571576</v>
      </c>
      <c r="T5">
        <v>1.025427842122977</v>
      </c>
      <c r="U5">
        <v>1.0583679696188304</v>
      </c>
      <c r="V5">
        <v>1.0593986479491404</v>
      </c>
      <c r="W5">
        <v>1.0220258499190522</v>
      </c>
      <c r="X5">
        <v>0.94941428029295671</v>
      </c>
      <c r="Y5">
        <v>0.85475675051842315</v>
      </c>
      <c r="Z5">
        <v>0.73094398637068625</v>
      </c>
      <c r="AA5">
        <v>0.529930127616003</v>
      </c>
      <c r="AB5">
        <v>0.21182693134174752</v>
      </c>
      <c r="AC5">
        <v>-0.24630817515310391</v>
      </c>
    </row>
    <row r="6" spans="1:29" x14ac:dyDescent="0.3">
      <c r="A6" s="93">
        <v>1.3333333333333299</v>
      </c>
      <c r="B6" s="29">
        <f t="shared" si="1"/>
        <v>2.5198420997897402</v>
      </c>
      <c r="C6">
        <v>2.0263701492890477E-2</v>
      </c>
      <c r="D6">
        <v>1.6371635288245E-2</v>
      </c>
      <c r="E6">
        <v>-3.6101079650378154E-4</v>
      </c>
      <c r="F6">
        <v>9.2314213844994705E-2</v>
      </c>
      <c r="G6">
        <v>0.17447086772014014</v>
      </c>
      <c r="H6">
        <v>0.24733129374122104</v>
      </c>
      <c r="I6">
        <v>0.33455133199555165</v>
      </c>
      <c r="J6">
        <v>0.4366400376086233</v>
      </c>
      <c r="K6">
        <v>0.51607217469802735</v>
      </c>
      <c r="L6">
        <v>0.43461308319311159</v>
      </c>
      <c r="M6">
        <v>0.17897436531280897</v>
      </c>
      <c r="N6">
        <v>0.21667665561814489</v>
      </c>
      <c r="O6">
        <v>0.1868586861831415</v>
      </c>
      <c r="P6">
        <v>0.21147762798241024</v>
      </c>
      <c r="Q6">
        <v>0.71017320731988332</v>
      </c>
      <c r="R6">
        <v>0.9526656125012759</v>
      </c>
      <c r="S6">
        <v>0.95080498627448806</v>
      </c>
      <c r="T6">
        <v>1.0193349490652746</v>
      </c>
      <c r="U6">
        <v>1.0511848868093923</v>
      </c>
      <c r="V6">
        <v>1.0525811258538582</v>
      </c>
      <c r="W6">
        <v>1.0164058660257989</v>
      </c>
      <c r="X6">
        <v>0.94420336556827766</v>
      </c>
      <c r="Y6">
        <v>0.85726678920131294</v>
      </c>
      <c r="Z6">
        <v>0.75056527023119823</v>
      </c>
      <c r="AA6">
        <v>0.55898270851622722</v>
      </c>
      <c r="AB6">
        <v>0.23478567345559928</v>
      </c>
      <c r="AC6">
        <v>-0.23675307509288637</v>
      </c>
    </row>
    <row r="7" spans="1:29" x14ac:dyDescent="0.3">
      <c r="A7" s="93">
        <v>1.6666666666666601</v>
      </c>
      <c r="B7" s="29">
        <f t="shared" si="1"/>
        <v>3.1748021039363841</v>
      </c>
      <c r="C7">
        <v>2.0702869870627822E-2</v>
      </c>
      <c r="D7">
        <v>4.5941272174000486E-2</v>
      </c>
      <c r="E7">
        <v>5.315332886148174E-2</v>
      </c>
      <c r="F7">
        <v>0.2078709449852098</v>
      </c>
      <c r="G7">
        <v>0.34846126771822472</v>
      </c>
      <c r="H7">
        <v>0.45205643861149097</v>
      </c>
      <c r="I7">
        <v>0.54025721345917899</v>
      </c>
      <c r="J7">
        <v>0.62956744032878165</v>
      </c>
      <c r="K7">
        <v>0.69430235915049432</v>
      </c>
      <c r="L7">
        <v>0.55273473846572607</v>
      </c>
      <c r="M7">
        <v>0.29330662992230505</v>
      </c>
      <c r="N7">
        <v>0.29621737195793163</v>
      </c>
      <c r="O7">
        <v>0.25497527767008549</v>
      </c>
      <c r="P7">
        <v>0.26729179039452006</v>
      </c>
      <c r="Q7">
        <v>0.7274793902279072</v>
      </c>
      <c r="R7">
        <v>0.95278774595127136</v>
      </c>
      <c r="S7">
        <v>0.94815234873236964</v>
      </c>
      <c r="T7">
        <v>1.0116584694905333</v>
      </c>
      <c r="U7">
        <v>1.0421353798564303</v>
      </c>
      <c r="V7">
        <v>1.0439918585073742</v>
      </c>
      <c r="W7">
        <v>1.0093247591048773</v>
      </c>
      <c r="X7">
        <v>0.93763767755420901</v>
      </c>
      <c r="Y7">
        <v>0.86042268228333896</v>
      </c>
      <c r="Z7">
        <v>0.77526666082893625</v>
      </c>
      <c r="AA7">
        <v>0.59560274904186028</v>
      </c>
      <c r="AB7">
        <v>0.26373886855114476</v>
      </c>
      <c r="AC7">
        <v>-0.22473499150980561</v>
      </c>
    </row>
    <row r="8" spans="1:29" x14ac:dyDescent="0.3">
      <c r="A8" s="93">
        <v>2</v>
      </c>
      <c r="B8" s="29">
        <f t="shared" si="1"/>
        <v>4</v>
      </c>
      <c r="C8">
        <v>2.1907568188333417E-2</v>
      </c>
      <c r="D8">
        <v>9.0210518901572279E-2</v>
      </c>
      <c r="E8">
        <v>0.15248280406279321</v>
      </c>
      <c r="F8">
        <v>0.34721713785110153</v>
      </c>
      <c r="G8">
        <v>0.55116853842915092</v>
      </c>
      <c r="H8">
        <v>0.68833307563344515</v>
      </c>
      <c r="I8">
        <v>0.77732334461450225</v>
      </c>
      <c r="J8">
        <v>0.83379044490179155</v>
      </c>
      <c r="K8">
        <v>0.86799277561961519</v>
      </c>
      <c r="L8">
        <v>0.69199876277835493</v>
      </c>
      <c r="M8">
        <v>0.43408733480005451</v>
      </c>
      <c r="N8">
        <v>0.39496963879279212</v>
      </c>
      <c r="O8">
        <v>0.34002608430941339</v>
      </c>
      <c r="P8">
        <v>0.33733714083535848</v>
      </c>
      <c r="Q8">
        <v>0.74919025951526685</v>
      </c>
      <c r="R8">
        <v>0.95294135720771622</v>
      </c>
      <c r="S8">
        <v>0.94481085797442743</v>
      </c>
      <c r="T8">
        <v>1.0019869582772116</v>
      </c>
      <c r="U8">
        <v>1.0307354961198714</v>
      </c>
      <c r="V8">
        <v>1.0331708618670457</v>
      </c>
      <c r="W8">
        <v>1.0004018808790189</v>
      </c>
      <c r="X8">
        <v>0.92936416061066562</v>
      </c>
      <c r="Y8">
        <v>0.86438541439306782</v>
      </c>
      <c r="Z8">
        <v>0.80634748009199764</v>
      </c>
      <c r="AA8">
        <v>0.64177005469887649</v>
      </c>
      <c r="AB8">
        <v>0.30026855210978098</v>
      </c>
      <c r="AC8">
        <v>-0.20963541030698107</v>
      </c>
    </row>
    <row r="9" spans="1:29" x14ac:dyDescent="0.3">
      <c r="A9" s="93">
        <v>2.3333333333333299</v>
      </c>
      <c r="B9" s="29">
        <f t="shared" si="1"/>
        <v>5.0396841995794812</v>
      </c>
      <c r="C9">
        <v>3.7578636695219256E-2</v>
      </c>
      <c r="D9">
        <v>0.15826125880717426</v>
      </c>
      <c r="E9">
        <v>0.37943874792839732</v>
      </c>
      <c r="F9">
        <v>0.50902621048645358</v>
      </c>
      <c r="G9">
        <v>0.75717870928188213</v>
      </c>
      <c r="H9">
        <v>0.91702782004920835</v>
      </c>
      <c r="I9">
        <v>0.96598561149480366</v>
      </c>
      <c r="J9">
        <v>0.9780683477465566</v>
      </c>
      <c r="K9">
        <v>0.94649747533429729</v>
      </c>
      <c r="L9">
        <v>0.83491049482168167</v>
      </c>
      <c r="M9">
        <v>0.6003483104585825</v>
      </c>
      <c r="N9">
        <v>0.51535414231758203</v>
      </c>
      <c r="O9">
        <v>0.44505706572646381</v>
      </c>
      <c r="P9">
        <v>0.42464868520128307</v>
      </c>
      <c r="Q9">
        <v>0.77622567661118747</v>
      </c>
      <c r="R9">
        <v>0.95313414905257188</v>
      </c>
      <c r="S9">
        <v>0.94060258305082234</v>
      </c>
      <c r="T9">
        <v>0.98980230765081334</v>
      </c>
      <c r="U9">
        <v>1.0163775158995458</v>
      </c>
      <c r="V9">
        <v>1.0195395152698112</v>
      </c>
      <c r="W9">
        <v>0.98915598829847184</v>
      </c>
      <c r="X9">
        <v>0.91893616022091662</v>
      </c>
      <c r="Y9">
        <v>0.86935122932330888</v>
      </c>
      <c r="Z9">
        <v>0.84542421472206475</v>
      </c>
      <c r="AA9">
        <v>0.69998485080849049</v>
      </c>
      <c r="AB9">
        <v>0.34638373879257722</v>
      </c>
      <c r="AC9">
        <v>-0.19069581923044329</v>
      </c>
    </row>
    <row r="10" spans="1:29" x14ac:dyDescent="0.3">
      <c r="A10" s="93">
        <v>2.6666666666666599</v>
      </c>
      <c r="B10" s="29">
        <f t="shared" si="1"/>
        <v>6.3496042078727672</v>
      </c>
      <c r="C10">
        <v>0.11626033833480634</v>
      </c>
      <c r="D10">
        <v>0.26390383506895876</v>
      </c>
      <c r="E10">
        <v>0.70928161458270766</v>
      </c>
      <c r="F10">
        <v>0.68570807735957739</v>
      </c>
      <c r="G10">
        <v>0.88539738553719216</v>
      </c>
      <c r="H10">
        <v>1.0228073338686539</v>
      </c>
      <c r="I10">
        <v>1.0347790719078531</v>
      </c>
      <c r="J10">
        <v>1.0368340412282755</v>
      </c>
      <c r="K10">
        <v>1.0015986800359551</v>
      </c>
      <c r="L10">
        <v>0.91602644496551155</v>
      </c>
      <c r="M10">
        <v>0.77607568025393137</v>
      </c>
      <c r="N10">
        <v>0.65616086397518203</v>
      </c>
      <c r="O10">
        <v>0.57166136819212388</v>
      </c>
      <c r="P10">
        <v>0.53179677763934763</v>
      </c>
      <c r="Q10">
        <v>0.80930735626143879</v>
      </c>
      <c r="R10">
        <v>0.95327790135070645</v>
      </c>
      <c r="S10">
        <v>0.93530521154706348</v>
      </c>
      <c r="T10">
        <v>0.97445248357260406</v>
      </c>
      <c r="U10">
        <v>0.99830109991901472</v>
      </c>
      <c r="V10">
        <v>1.0023712452907472</v>
      </c>
      <c r="W10">
        <v>0.97498076703870507</v>
      </c>
      <c r="X10">
        <v>0.90579103346364631</v>
      </c>
      <c r="Y10">
        <v>0.87555457226270383</v>
      </c>
      <c r="Z10">
        <v>0.89449294732758833</v>
      </c>
      <c r="AA10">
        <v>0.77339845717109768</v>
      </c>
      <c r="AB10">
        <v>0.40463513980270527</v>
      </c>
      <c r="AC10">
        <v>-0.16700100556761546</v>
      </c>
    </row>
    <row r="11" spans="1:29" x14ac:dyDescent="0.3">
      <c r="A11" s="93">
        <v>3</v>
      </c>
      <c r="B11" s="29">
        <f t="shared" si="1"/>
        <v>8</v>
      </c>
      <c r="C11">
        <v>0.29826919284569414</v>
      </c>
      <c r="D11">
        <v>0.42535006458876051</v>
      </c>
      <c r="E11">
        <v>0.93177672846727255</v>
      </c>
      <c r="F11">
        <v>0.8590938403875239</v>
      </c>
      <c r="G11">
        <v>0.92571330238081118</v>
      </c>
      <c r="H11">
        <v>1.0060390292993053</v>
      </c>
      <c r="I11">
        <v>0.95165674124773758</v>
      </c>
      <c r="J11">
        <v>0.9708677063220571</v>
      </c>
      <c r="K11">
        <v>0.99742980967048678</v>
      </c>
      <c r="L11">
        <v>0.96605556670271509</v>
      </c>
      <c r="M11">
        <v>0.9009400992944967</v>
      </c>
      <c r="N11">
        <v>0.80478137856719512</v>
      </c>
      <c r="O11">
        <v>0.71600616284105612</v>
      </c>
      <c r="P11">
        <v>0.65861683515782354</v>
      </c>
      <c r="Q11">
        <v>0.84816001059702284</v>
      </c>
      <c r="R11">
        <v>0.9530146352434532</v>
      </c>
      <c r="S11">
        <v>0.92864352029813435</v>
      </c>
      <c r="T11">
        <v>0.95511790907752003</v>
      </c>
      <c r="U11">
        <v>0.9755622225077395</v>
      </c>
      <c r="V11">
        <v>0.98075701728566611</v>
      </c>
      <c r="W11">
        <v>0.95711168718414785</v>
      </c>
      <c r="X11">
        <v>0.88921930934940852</v>
      </c>
      <c r="Y11">
        <v>0.88326611833802948</v>
      </c>
      <c r="Z11">
        <v>0.95598882715743727</v>
      </c>
      <c r="AA11">
        <v>0.86595751535639076</v>
      </c>
      <c r="AB11">
        <v>0.47824515721648253</v>
      </c>
      <c r="AC11">
        <v>-0.13747607198854994</v>
      </c>
    </row>
    <row r="12" spans="1:29" x14ac:dyDescent="0.3">
      <c r="A12" s="93">
        <v>3.3333333333333299</v>
      </c>
      <c r="B12" s="29">
        <f t="shared" si="1"/>
        <v>10.079368399158962</v>
      </c>
      <c r="C12">
        <v>0.605102729987954</v>
      </c>
      <c r="D12">
        <v>0.65713040309973381</v>
      </c>
      <c r="E12">
        <v>0.96307222399191006</v>
      </c>
      <c r="F12">
        <v>0.99536713256460685</v>
      </c>
      <c r="G12">
        <v>0.93460211545689387</v>
      </c>
      <c r="H12">
        <v>0.96955358847076367</v>
      </c>
      <c r="I12">
        <v>0.96133720160004854</v>
      </c>
      <c r="J12">
        <v>0.93675341856547745</v>
      </c>
      <c r="K12">
        <v>0.94630947579384828</v>
      </c>
      <c r="L12">
        <v>0.97216227243770814</v>
      </c>
      <c r="M12">
        <v>0.95663377943645023</v>
      </c>
      <c r="N12">
        <v>0.91670111057136749</v>
      </c>
      <c r="O12">
        <v>0.85817788942574746</v>
      </c>
      <c r="P12">
        <v>0.79583766773211395</v>
      </c>
      <c r="Q12">
        <v>0.88927373505286766</v>
      </c>
      <c r="R12">
        <v>0.95117408700410799</v>
      </c>
      <c r="S12">
        <v>0.92028336798514121</v>
      </c>
      <c r="T12">
        <v>0.93077099163387189</v>
      </c>
      <c r="U12">
        <v>0.94700759089771114</v>
      </c>
      <c r="V12">
        <v>0.95356809191921799</v>
      </c>
      <c r="W12">
        <v>0.93458713676071625</v>
      </c>
      <c r="X12">
        <v>0.86832907826179573</v>
      </c>
      <c r="Y12">
        <v>0.89277976922919977</v>
      </c>
      <c r="Z12">
        <v>1.032823899935988</v>
      </c>
      <c r="AA12">
        <v>0.98252080723544988</v>
      </c>
      <c r="AB12">
        <v>0.57121476211648559</v>
      </c>
      <c r="AC12">
        <v>-0.1009162903334308</v>
      </c>
    </row>
    <row r="13" spans="1:29" x14ac:dyDescent="0.3">
      <c r="A13" s="93">
        <v>3.6666666666666599</v>
      </c>
      <c r="B13" s="29">
        <f t="shared" si="1"/>
        <v>12.699208415745536</v>
      </c>
      <c r="C13">
        <v>0.92434413014682448</v>
      </c>
      <c r="D13">
        <v>0.93497648150169443</v>
      </c>
      <c r="E13">
        <v>0.92759274841800532</v>
      </c>
      <c r="F13">
        <v>1.0445904536397299</v>
      </c>
      <c r="G13">
        <v>0.96912450541560946</v>
      </c>
      <c r="H13">
        <v>0.97670989175702483</v>
      </c>
      <c r="I13">
        <v>0.97815606302413627</v>
      </c>
      <c r="J13">
        <v>0.96796775410953106</v>
      </c>
      <c r="K13">
        <v>0.92665761190540674</v>
      </c>
      <c r="L13">
        <v>0.93170574991823174</v>
      </c>
      <c r="M13">
        <v>0.95225814731758873</v>
      </c>
      <c r="N13">
        <v>0.95150672197265729</v>
      </c>
      <c r="O13">
        <v>0.93433957826801373</v>
      </c>
      <c r="P13">
        <v>0.90796141229687621</v>
      </c>
      <c r="Q13">
        <v>0.91989974594408119</v>
      </c>
      <c r="R13">
        <v>0.94427490915059697</v>
      </c>
      <c r="S13">
        <v>0.90983623694008053</v>
      </c>
      <c r="T13">
        <v>0.90012994002079727</v>
      </c>
      <c r="U13">
        <v>0.91127707420311921</v>
      </c>
      <c r="V13">
        <v>0.91942504593899432</v>
      </c>
      <c r="W13">
        <v>0.90620608519004464</v>
      </c>
      <c r="X13">
        <v>0.84200844809774211</v>
      </c>
      <c r="Y13">
        <v>0.90437733526852093</v>
      </c>
      <c r="Z13">
        <v>1.128363772738233</v>
      </c>
      <c r="AA13">
        <v>1.1288160029369618</v>
      </c>
      <c r="AB13">
        <v>0.68827425831519251</v>
      </c>
      <c r="AC13">
        <v>-5.608564750224275E-2</v>
      </c>
    </row>
    <row r="14" spans="1:29" x14ac:dyDescent="0.3">
      <c r="A14" s="93">
        <v>4</v>
      </c>
      <c r="B14" s="29">
        <f t="shared" si="1"/>
        <v>16</v>
      </c>
      <c r="C14">
        <v>0.63149874359380631</v>
      </c>
      <c r="D14">
        <v>1.0781231845569594</v>
      </c>
      <c r="E14">
        <v>0.97489046495090648</v>
      </c>
      <c r="F14">
        <v>0.96651002930895447</v>
      </c>
      <c r="G14">
        <v>0.96280508169580226</v>
      </c>
      <c r="H14">
        <v>0.94121685763730223</v>
      </c>
      <c r="I14">
        <v>0.89837597288315141</v>
      </c>
      <c r="J14">
        <v>0.90695408352559015</v>
      </c>
      <c r="K14">
        <v>0.87770803854885315</v>
      </c>
      <c r="L14">
        <v>0.85621571882142855</v>
      </c>
      <c r="M14">
        <v>0.86289365589603206</v>
      </c>
      <c r="N14">
        <v>0.86980340473675977</v>
      </c>
      <c r="O14">
        <v>0.87812863432387023</v>
      </c>
      <c r="P14">
        <v>0.88829378957208416</v>
      </c>
      <c r="Q14">
        <v>0.90228159238056949</v>
      </c>
      <c r="R14">
        <v>0.92248470888338807</v>
      </c>
      <c r="S14">
        <v>0.89689581155714471</v>
      </c>
      <c r="T14">
        <v>0.86161283093343499</v>
      </c>
      <c r="U14">
        <v>0.86689507203338467</v>
      </c>
      <c r="V14">
        <v>0.87669938820042492</v>
      </c>
      <c r="W14">
        <v>0.87049465619481858</v>
      </c>
      <c r="X14">
        <v>0.80890013604382316</v>
      </c>
      <c r="Y14">
        <v>0.91825146777228162</v>
      </c>
      <c r="Z14">
        <v>1.246264270277172</v>
      </c>
      <c r="AA14">
        <v>1.3108515002421477</v>
      </c>
      <c r="AB14">
        <v>0.83427687134374195</v>
      </c>
      <c r="AC14">
        <v>-1.947019517162574E-3</v>
      </c>
    </row>
    <row r="15" spans="1:29" x14ac:dyDescent="0.3">
      <c r="A15" s="93">
        <v>4.3333333333333304</v>
      </c>
      <c r="B15" s="29">
        <f t="shared" si="1"/>
        <v>20.158736798317928</v>
      </c>
      <c r="C15">
        <v>0.9068670764489879</v>
      </c>
      <c r="D15">
        <v>1.0104175978525505</v>
      </c>
      <c r="E15">
        <v>0.90796787873678475</v>
      </c>
      <c r="F15">
        <v>1.0033178333393211</v>
      </c>
      <c r="G15">
        <v>0.96979569305627622</v>
      </c>
      <c r="H15">
        <v>0.86448990835042705</v>
      </c>
      <c r="I15">
        <v>0.81661388988918926</v>
      </c>
      <c r="J15">
        <v>0.71221493188675333</v>
      </c>
      <c r="K15">
        <v>0.7867288838803469</v>
      </c>
      <c r="L15">
        <v>0.7394133927940969</v>
      </c>
      <c r="M15">
        <v>0.69557032469008628</v>
      </c>
      <c r="N15">
        <v>0.67935890654871978</v>
      </c>
      <c r="O15">
        <v>0.70485603841288325</v>
      </c>
      <c r="P15">
        <v>0.73903361477144558</v>
      </c>
      <c r="Q15">
        <v>0.78455899611391833</v>
      </c>
      <c r="R15">
        <v>0.84847797654691881</v>
      </c>
      <c r="S15">
        <v>0.7611841529991078</v>
      </c>
      <c r="T15">
        <v>0.813294065259208</v>
      </c>
      <c r="U15">
        <v>0.81241673674003401</v>
      </c>
      <c r="V15">
        <v>0.82361895978760913</v>
      </c>
      <c r="W15">
        <v>0.82572059485165228</v>
      </c>
      <c r="X15">
        <v>0.76743151029680368</v>
      </c>
      <c r="Y15">
        <v>0.93435677209379231</v>
      </c>
      <c r="Z15">
        <v>1.3900180325331251</v>
      </c>
      <c r="AA15">
        <v>1.5354628955131548</v>
      </c>
      <c r="AB15">
        <v>1.0150258759873738</v>
      </c>
      <c r="AC15">
        <v>6.1875734446770136E-2</v>
      </c>
    </row>
    <row r="16" spans="1:29" x14ac:dyDescent="0.3">
      <c r="A16" s="93">
        <v>4.6666666666666599</v>
      </c>
      <c r="B16" s="29">
        <f t="shared" si="1"/>
        <v>25.398416831491073</v>
      </c>
      <c r="C16">
        <v>1.1426741485080478</v>
      </c>
      <c r="D16">
        <v>0.97957372138024412</v>
      </c>
      <c r="E16">
        <v>0.91096311989694823</v>
      </c>
      <c r="F16">
        <v>1.0214674779512412</v>
      </c>
      <c r="G16">
        <v>0.89149954465351722</v>
      </c>
      <c r="H16">
        <v>0.6945485656180499</v>
      </c>
      <c r="I16">
        <v>0.72692131721940878</v>
      </c>
      <c r="J16">
        <v>0.59620682500060496</v>
      </c>
      <c r="K16">
        <v>0.67537671065212335</v>
      </c>
      <c r="L16">
        <v>0.61267373323449703</v>
      </c>
      <c r="M16">
        <v>0.57288904401554586</v>
      </c>
      <c r="N16">
        <v>0.57577016078180443</v>
      </c>
      <c r="O16">
        <v>0.59349480148574041</v>
      </c>
      <c r="P16">
        <v>0.61321790376274232</v>
      </c>
      <c r="Q16">
        <v>0.63680554321857619</v>
      </c>
      <c r="R16">
        <v>0.66856639378058025</v>
      </c>
      <c r="S16">
        <v>0.71312585625728209</v>
      </c>
      <c r="T16">
        <v>0.75291554247995385</v>
      </c>
      <c r="U16">
        <v>0.7470323556022137</v>
      </c>
      <c r="V16">
        <v>0.75866306898368552</v>
      </c>
      <c r="W16">
        <v>0.77006688085335118</v>
      </c>
      <c r="X16">
        <v>0.7160225756940124</v>
      </c>
      <c r="Y16">
        <v>0.95215229056521555</v>
      </c>
      <c r="Z16">
        <v>1.5619391691347819</v>
      </c>
      <c r="AA16">
        <v>1.809243104326042</v>
      </c>
      <c r="AB16">
        <v>1.2365419789024867</v>
      </c>
      <c r="AC16">
        <v>0.1342720097443538</v>
      </c>
    </row>
    <row r="17" spans="1:29" x14ac:dyDescent="0.3">
      <c r="A17" s="93">
        <v>4.9999999999999902</v>
      </c>
      <c r="B17" s="29">
        <f t="shared" si="1"/>
        <v>31.999999999999787</v>
      </c>
      <c r="C17">
        <v>0.9975862044407513</v>
      </c>
      <c r="D17">
        <v>0.997853947074268</v>
      </c>
      <c r="E17">
        <v>0.99784478806698906</v>
      </c>
      <c r="F17">
        <v>1.0121653740127556</v>
      </c>
      <c r="G17">
        <v>0.84198381246239862</v>
      </c>
      <c r="H17">
        <v>0.62205224109444646</v>
      </c>
      <c r="I17">
        <v>0.64117619281726335</v>
      </c>
      <c r="J17">
        <v>0.58226615450063635</v>
      </c>
      <c r="K17">
        <v>0.57794804873099981</v>
      </c>
      <c r="L17">
        <v>0.51212498938069184</v>
      </c>
      <c r="M17">
        <v>0.50883592810396461</v>
      </c>
      <c r="N17">
        <v>0.52536486670411064</v>
      </c>
      <c r="O17">
        <v>0.53678687544525661</v>
      </c>
      <c r="P17">
        <v>0.54873309952356997</v>
      </c>
      <c r="Q17">
        <v>0.56621229104143034</v>
      </c>
      <c r="R17">
        <v>0.59147241138390949</v>
      </c>
      <c r="S17">
        <v>0.62733641149704256</v>
      </c>
      <c r="T17">
        <v>0.67804308232656696</v>
      </c>
      <c r="U17">
        <v>0.67210631313576041</v>
      </c>
      <c r="V17">
        <v>0.68172513941987467</v>
      </c>
      <c r="W17">
        <v>0.7022676291354355</v>
      </c>
      <c r="X17">
        <v>0.65380427154851684</v>
      </c>
      <c r="Y17">
        <v>0.97022196614847755</v>
      </c>
      <c r="Z17">
        <v>1.7611246069308479</v>
      </c>
      <c r="AA17">
        <v>2.1364284169965244</v>
      </c>
      <c r="AB17">
        <v>1.5036910914664343</v>
      </c>
      <c r="AC17">
        <v>0.21137050787654746</v>
      </c>
    </row>
    <row r="18" spans="1:29" x14ac:dyDescent="0.3">
      <c r="A18" s="93">
        <v>5.3333333333333304</v>
      </c>
      <c r="B18" s="29">
        <f t="shared" si="1"/>
        <v>40.317473596635857</v>
      </c>
      <c r="C18">
        <v>0.97025970292293318</v>
      </c>
      <c r="D18">
        <v>1.0046874518403379</v>
      </c>
      <c r="E18">
        <v>1.0429854003808114</v>
      </c>
      <c r="F18">
        <v>0.99720345395993137</v>
      </c>
      <c r="G18">
        <v>0.75950653809424573</v>
      </c>
      <c r="H18">
        <v>0.5791560611134523</v>
      </c>
      <c r="I18">
        <v>0.57226149784646674</v>
      </c>
      <c r="J18">
        <v>0.56715467588921975</v>
      </c>
      <c r="K18">
        <v>0.52860792645761545</v>
      </c>
      <c r="L18">
        <v>0.45584306788259626</v>
      </c>
      <c r="M18">
        <v>0.50906078416700573</v>
      </c>
      <c r="N18">
        <v>0.5575459532929179</v>
      </c>
      <c r="O18">
        <v>0.58386256253497326</v>
      </c>
      <c r="P18">
        <v>0.57565275697378016</v>
      </c>
      <c r="Q18">
        <v>0.57431414465409725</v>
      </c>
      <c r="R18">
        <v>0.57658998435610265</v>
      </c>
      <c r="S18">
        <v>0.58069435744102771</v>
      </c>
      <c r="T18">
        <v>0.5866158503723421</v>
      </c>
      <c r="U18">
        <v>0.59499308651182437</v>
      </c>
      <c r="V18">
        <v>0.5972602815190291</v>
      </c>
      <c r="W18">
        <v>0.62351168317332406</v>
      </c>
      <c r="X18">
        <v>0.58272822998114904</v>
      </c>
      <c r="Y18">
        <v>0.98589991166595203</v>
      </c>
      <c r="Z18">
        <v>1.9796912890017104</v>
      </c>
      <c r="AA18">
        <v>2.5148286017296178</v>
      </c>
      <c r="AB18">
        <v>1.8176067477720506</v>
      </c>
      <c r="AC18">
        <v>0.28510600525618951</v>
      </c>
    </row>
    <row r="19" spans="1:29" x14ac:dyDescent="0.3">
      <c r="A19" s="93">
        <v>5.6666666666666599</v>
      </c>
      <c r="B19" s="29">
        <f t="shared" si="1"/>
        <v>50.796833662982131</v>
      </c>
      <c r="C19">
        <v>1.0320318653880469</v>
      </c>
      <c r="D19">
        <v>0.99469051650367735</v>
      </c>
      <c r="E19">
        <v>1.0094414792971436</v>
      </c>
      <c r="F19">
        <v>0.97268550505301887</v>
      </c>
      <c r="G19">
        <v>0.65043189392884815</v>
      </c>
      <c r="H19">
        <v>0.58031404870027736</v>
      </c>
      <c r="I19">
        <v>0.52221823241369247</v>
      </c>
      <c r="J19">
        <v>0.55221500236378696</v>
      </c>
      <c r="K19">
        <v>0.551525211577368</v>
      </c>
      <c r="L19">
        <v>0.44343584606439107</v>
      </c>
      <c r="M19">
        <v>0.55082952796408824</v>
      </c>
      <c r="N19">
        <v>0.57014177197001414</v>
      </c>
      <c r="O19">
        <v>0.57613553045204735</v>
      </c>
      <c r="P19">
        <v>0.57232683696729392</v>
      </c>
      <c r="Q19">
        <v>0.56799505510228954</v>
      </c>
      <c r="R19">
        <v>0.5634368650042062</v>
      </c>
      <c r="S19">
        <v>0.55764981974775829</v>
      </c>
      <c r="T19">
        <v>0.54966338528349712</v>
      </c>
      <c r="U19">
        <v>0.53841270511248773</v>
      </c>
      <c r="V19">
        <v>0.52250621355772653</v>
      </c>
      <c r="W19">
        <v>0.54272134271591299</v>
      </c>
      <c r="X19">
        <v>0.51337086095243567</v>
      </c>
      <c r="Y19">
        <v>0.99554349129104935</v>
      </c>
      <c r="Z19">
        <v>2.1964645974779549</v>
      </c>
      <c r="AA19">
        <v>2.9281732939591807</v>
      </c>
      <c r="AB19">
        <v>2.1708372890719305</v>
      </c>
      <c r="AC19">
        <v>0.34336733086701354</v>
      </c>
    </row>
    <row r="20" spans="1:29" x14ac:dyDescent="0.3">
      <c r="A20" s="93">
        <v>5.9999999999999902</v>
      </c>
      <c r="B20" s="29">
        <f t="shared" si="1"/>
        <v>63.999999999999581</v>
      </c>
      <c r="C20">
        <v>1.0667966565759683</v>
      </c>
      <c r="D20">
        <v>0.97708899109383218</v>
      </c>
      <c r="E20">
        <v>0.88224912209853967</v>
      </c>
      <c r="F20">
        <v>0.93245197596661444</v>
      </c>
      <c r="G20">
        <v>0.58231674897340968</v>
      </c>
      <c r="H20">
        <v>0.59469363528325681</v>
      </c>
      <c r="I20">
        <v>0.51159415328438118</v>
      </c>
      <c r="J20">
        <v>0.53991774024740535</v>
      </c>
      <c r="K20">
        <v>0.563397033024296</v>
      </c>
      <c r="L20">
        <v>0.45236931347348436</v>
      </c>
      <c r="M20">
        <v>0.52354236758121075</v>
      </c>
      <c r="N20">
        <v>0.53530376770421029</v>
      </c>
      <c r="O20">
        <v>0.54974924226796318</v>
      </c>
      <c r="P20">
        <v>0.5488132170777863</v>
      </c>
      <c r="Q20">
        <v>0.54520025156704455</v>
      </c>
      <c r="R20">
        <v>0.54136047619680705</v>
      </c>
      <c r="S20">
        <v>0.5366512988102915</v>
      </c>
      <c r="T20">
        <v>0.53025000949743639</v>
      </c>
      <c r="U20">
        <v>0.52127221748708663</v>
      </c>
      <c r="V20">
        <v>0.50859352830893845</v>
      </c>
      <c r="W20">
        <v>0.49066608151099955</v>
      </c>
      <c r="X20">
        <v>0.48039365720024019</v>
      </c>
      <c r="Y20">
        <v>0.99772424463646159</v>
      </c>
      <c r="Z20">
        <v>2.3679454377060813</v>
      </c>
      <c r="AA20">
        <v>3.3328330600953011</v>
      </c>
      <c r="AB20">
        <v>2.5390427521970831</v>
      </c>
      <c r="AC20">
        <v>0.37814834758943039</v>
      </c>
    </row>
    <row r="21" spans="1:29" x14ac:dyDescent="0.3">
      <c r="A21" s="93">
        <v>6.3333333333333304</v>
      </c>
      <c r="B21" s="29">
        <f t="shared" si="1"/>
        <v>80.634947193271685</v>
      </c>
      <c r="C21">
        <v>1.0532836435508042</v>
      </c>
      <c r="D21">
        <v>0.94820843032967894</v>
      </c>
      <c r="E21">
        <v>0.78045845529146407</v>
      </c>
      <c r="F21">
        <v>0.86799963038581662</v>
      </c>
      <c r="G21">
        <v>0.5782116388324533</v>
      </c>
      <c r="H21">
        <v>0.61000625289727017</v>
      </c>
      <c r="I21">
        <v>0.55086003437310427</v>
      </c>
      <c r="J21">
        <v>0.53728126255361131</v>
      </c>
      <c r="K21">
        <v>0.56505578243347876</v>
      </c>
      <c r="L21">
        <v>0.47070555382467438</v>
      </c>
      <c r="M21">
        <v>0.49993916965373592</v>
      </c>
      <c r="N21">
        <v>0.51431382521194513</v>
      </c>
      <c r="O21">
        <v>0.51567746958229432</v>
      </c>
      <c r="P21">
        <v>0.5064288846459315</v>
      </c>
      <c r="Q21">
        <v>0.5038586201178159</v>
      </c>
      <c r="R21">
        <v>0.50566443299903163</v>
      </c>
      <c r="S21">
        <v>0.50991449686857127</v>
      </c>
      <c r="T21">
        <v>0.51634817695004565</v>
      </c>
      <c r="U21">
        <v>0.52553804982453522</v>
      </c>
      <c r="V21">
        <v>0.53855210103961959</v>
      </c>
      <c r="W21">
        <v>0.55695995988479463</v>
      </c>
      <c r="X21">
        <v>0.58299327054681449</v>
      </c>
      <c r="Y21">
        <v>1.0063599339792921</v>
      </c>
      <c r="Z21">
        <v>2.4199603694474412</v>
      </c>
      <c r="AA21">
        <v>3.6373844248071596</v>
      </c>
      <c r="AB21">
        <v>2.868729945011641</v>
      </c>
      <c r="AC21">
        <v>0.42196980050765953</v>
      </c>
    </row>
    <row r="22" spans="1:29" x14ac:dyDescent="0.3">
      <c r="A22" s="93">
        <v>6.6666666666666696</v>
      </c>
      <c r="B22" s="29">
        <f t="shared" si="1"/>
        <v>101.59366732596494</v>
      </c>
      <c r="C22">
        <v>0.99423366691127635</v>
      </c>
      <c r="D22">
        <v>0.90674834016767725</v>
      </c>
      <c r="E22">
        <v>0.78419189949567025</v>
      </c>
      <c r="F22">
        <v>0.77159877972045421</v>
      </c>
      <c r="G22">
        <v>0.64140016726727778</v>
      </c>
      <c r="H22">
        <v>0.62443716335680188</v>
      </c>
      <c r="I22">
        <v>0.58001352504087378</v>
      </c>
      <c r="J22">
        <v>0.5520504146397246</v>
      </c>
      <c r="K22">
        <v>0.55728120416727744</v>
      </c>
      <c r="L22">
        <v>0.49528445570245982</v>
      </c>
      <c r="M22">
        <v>0.48422486145259497</v>
      </c>
      <c r="N22">
        <v>0.50485326688244847</v>
      </c>
      <c r="O22">
        <v>0.50745932264288263</v>
      </c>
      <c r="P22">
        <v>0.44700590742293539</v>
      </c>
      <c r="Q22">
        <v>0.43079415141221983</v>
      </c>
      <c r="R22">
        <v>0.43919250484324146</v>
      </c>
      <c r="S22">
        <v>0.46185425071581643</v>
      </c>
      <c r="T22">
        <v>0.49725160202932611</v>
      </c>
      <c r="U22">
        <v>0.54827879978345029</v>
      </c>
      <c r="V22">
        <v>0.62070324400115695</v>
      </c>
      <c r="W22">
        <v>0.72319170492831653</v>
      </c>
      <c r="X22">
        <v>0.86814643846061446</v>
      </c>
      <c r="Y22">
        <v>1.0731457182847695</v>
      </c>
      <c r="Z22">
        <v>2.256287610890034</v>
      </c>
      <c r="AA22">
        <v>3.6784436294833416</v>
      </c>
      <c r="AB22">
        <v>3.0477479720487972</v>
      </c>
      <c r="AC22">
        <v>0.47718145049846844</v>
      </c>
    </row>
    <row r="23" spans="1:29" x14ac:dyDescent="0.3">
      <c r="A23" s="93">
        <v>7.0000000000000098</v>
      </c>
      <c r="B23" s="29">
        <f t="shared" si="1"/>
        <v>128.00000000000088</v>
      </c>
      <c r="C23">
        <v>0.99829775309319557</v>
      </c>
      <c r="D23">
        <v>0.86457660272814418</v>
      </c>
      <c r="E23">
        <v>0.73743709237183286</v>
      </c>
      <c r="F23">
        <v>0.65076325676719193</v>
      </c>
      <c r="G23">
        <v>0.63892837766720345</v>
      </c>
      <c r="H23">
        <v>0.63461875623006836</v>
      </c>
      <c r="I23">
        <v>0.59531919195158567</v>
      </c>
      <c r="J23">
        <v>0.59050118841054833</v>
      </c>
      <c r="K23">
        <v>0.55113155995418817</v>
      </c>
      <c r="L23">
        <v>0.5284418728528919</v>
      </c>
      <c r="M23">
        <v>0.47382751342698026</v>
      </c>
      <c r="N23">
        <v>0.47514111364117934</v>
      </c>
      <c r="O23">
        <v>0.43169335544125315</v>
      </c>
      <c r="P23">
        <v>0.37317278557252398</v>
      </c>
      <c r="Q23">
        <v>0.35790276071338328</v>
      </c>
      <c r="R23">
        <v>0.37332185745812879</v>
      </c>
      <c r="S23">
        <v>0.40952758004112816</v>
      </c>
      <c r="T23">
        <v>0.46567982300295691</v>
      </c>
      <c r="U23">
        <v>0.54666766525226429</v>
      </c>
      <c r="V23">
        <v>0.66167395353701219</v>
      </c>
      <c r="W23">
        <v>0.82445088113544807</v>
      </c>
      <c r="X23">
        <v>1.0546876688714706</v>
      </c>
      <c r="Y23">
        <v>1.3803003487827581</v>
      </c>
      <c r="Z23">
        <v>1.8407880920836492</v>
      </c>
      <c r="AA23">
        <v>3.2160311933566987</v>
      </c>
      <c r="AB23">
        <v>2.881417580713526</v>
      </c>
      <c r="AC23">
        <v>0.54674381361499114</v>
      </c>
    </row>
    <row r="24" spans="1:29" x14ac:dyDescent="0.3">
      <c r="A24" s="93">
        <v>7.3333333333333499</v>
      </c>
      <c r="B24" s="29">
        <f t="shared" si="1"/>
        <v>161.26989438654553</v>
      </c>
      <c r="C24">
        <v>0.94408631299942181</v>
      </c>
      <c r="D24">
        <v>0.81409162500912347</v>
      </c>
      <c r="E24">
        <v>0.67135903294862143</v>
      </c>
      <c r="F24">
        <v>0.57790363388564348</v>
      </c>
      <c r="G24">
        <v>0.55288607330391881</v>
      </c>
      <c r="H24">
        <v>0.6357506252395011</v>
      </c>
      <c r="I24">
        <v>0.62007493232351285</v>
      </c>
      <c r="J24">
        <v>0.63850435597936472</v>
      </c>
      <c r="K24">
        <v>0.5468140228163606</v>
      </c>
      <c r="L24">
        <v>0.57257694627640898</v>
      </c>
      <c r="M24">
        <v>0.46225722087064181</v>
      </c>
      <c r="N24">
        <v>0.42908183067408906</v>
      </c>
      <c r="O24">
        <v>0.38884725805194426</v>
      </c>
      <c r="P24">
        <v>0.36817157566242281</v>
      </c>
      <c r="Q24">
        <v>0.36441997404939103</v>
      </c>
      <c r="R24">
        <v>0.37674050475853171</v>
      </c>
      <c r="S24">
        <v>0.40532896661898304</v>
      </c>
      <c r="T24">
        <v>0.44954244604840543</v>
      </c>
      <c r="U24">
        <v>0.51307970275261916</v>
      </c>
      <c r="V24">
        <v>0.60317609671358241</v>
      </c>
      <c r="W24">
        <v>0.73064838811702004</v>
      </c>
      <c r="X24">
        <v>0.91093625714324034</v>
      </c>
      <c r="Y24">
        <v>1.1659065375372242</v>
      </c>
      <c r="Z24">
        <v>1.52649076937177</v>
      </c>
      <c r="AA24">
        <v>2.0364345780102759</v>
      </c>
      <c r="AB24">
        <v>2.0918117691379581</v>
      </c>
      <c r="AC24">
        <v>0.63438691321534935</v>
      </c>
    </row>
    <row r="25" spans="1:29" x14ac:dyDescent="0.3">
      <c r="A25" s="93">
        <v>7.6666666666666901</v>
      </c>
      <c r="B25" s="29">
        <f t="shared" si="1"/>
        <v>203.18733465193279</v>
      </c>
      <c r="C25">
        <v>0.83304217179414475</v>
      </c>
      <c r="D25">
        <v>0.68737447242658833</v>
      </c>
      <c r="E25">
        <v>0.69291572213487196</v>
      </c>
      <c r="F25">
        <v>0.70994271714387869</v>
      </c>
      <c r="G25">
        <v>0.48157473283262753</v>
      </c>
      <c r="H25">
        <v>0.62459960813575677</v>
      </c>
      <c r="I25">
        <v>0.56012215619332195</v>
      </c>
      <c r="J25">
        <v>0.69871074255673171</v>
      </c>
      <c r="K25">
        <v>0.5440447476569642</v>
      </c>
      <c r="L25">
        <v>0.62514963836770021</v>
      </c>
      <c r="M25">
        <v>0.44586059131436312</v>
      </c>
      <c r="N25">
        <v>0.37190800843363908</v>
      </c>
      <c r="O25">
        <v>0.40467531887911079</v>
      </c>
      <c r="P25">
        <v>0.4960754976464562</v>
      </c>
      <c r="Q25">
        <v>0.52405294347354137</v>
      </c>
      <c r="R25">
        <v>0.46340149342473591</v>
      </c>
      <c r="S25">
        <v>0.43811643265539618</v>
      </c>
      <c r="T25">
        <v>0.43049285703786505</v>
      </c>
      <c r="U25">
        <v>0.42880171687895896</v>
      </c>
      <c r="V25">
        <v>0.42904412783512591</v>
      </c>
      <c r="W25">
        <v>0.43012615586762942</v>
      </c>
      <c r="X25">
        <v>0.43186549015630954</v>
      </c>
      <c r="Y25">
        <v>0.43438641833012098</v>
      </c>
      <c r="Z25">
        <v>0.43797026301158026</v>
      </c>
      <c r="AA25">
        <v>0.44304227396120022</v>
      </c>
      <c r="AB25">
        <v>0.45021553812118914</v>
      </c>
      <c r="AC25">
        <v>0.74481029745157779</v>
      </c>
    </row>
    <row r="26" spans="1:29" x14ac:dyDescent="0.3">
      <c r="A26" s="93"/>
    </row>
    <row r="27" spans="1:29" x14ac:dyDescent="0.3">
      <c r="A27" t="s">
        <v>27</v>
      </c>
      <c r="C27">
        <v>1</v>
      </c>
    </row>
  </sheetData>
  <conditionalFormatting sqref="C2:P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AABE0-F601-4D25-8055-B939F674491C}">
  <sheetPr codeName="Sheet2"/>
  <dimension ref="A1:R25"/>
  <sheetViews>
    <sheetView workbookViewId="0">
      <selection activeCell="F8" sqref="F8"/>
    </sheetView>
  </sheetViews>
  <sheetFormatPr defaultRowHeight="14.4" x14ac:dyDescent="0.3"/>
  <cols>
    <col min="7" max="9" width="11" bestFit="1" customWidth="1"/>
  </cols>
  <sheetData>
    <row r="1" spans="1:18" x14ac:dyDescent="0.3">
      <c r="B1" s="30">
        <v>0</v>
      </c>
      <c r="C1" s="30">
        <v>4</v>
      </c>
      <c r="D1" s="30">
        <v>8</v>
      </c>
      <c r="E1" s="30">
        <v>12</v>
      </c>
      <c r="F1" s="30">
        <v>16</v>
      </c>
      <c r="G1" s="30">
        <v>20</v>
      </c>
      <c r="H1" s="30">
        <v>24</v>
      </c>
      <c r="I1" s="30">
        <v>28</v>
      </c>
      <c r="J1" s="30">
        <v>32</v>
      </c>
      <c r="K1" s="30">
        <v>36</v>
      </c>
      <c r="L1" s="30">
        <v>40</v>
      </c>
      <c r="M1" s="30">
        <v>44</v>
      </c>
      <c r="N1" s="30">
        <v>48</v>
      </c>
      <c r="O1" s="30">
        <v>52</v>
      </c>
      <c r="P1" s="30">
        <v>56</v>
      </c>
      <c r="Q1" s="30">
        <v>60</v>
      </c>
      <c r="R1" s="30">
        <v>64</v>
      </c>
    </row>
    <row r="2" spans="1:18" x14ac:dyDescent="0.3">
      <c r="A2" s="29">
        <v>0</v>
      </c>
      <c r="B2">
        <f t="array" ref="B2:R18">RegularizeData3D(Main!D12:D27,Main!E12:E27,Main!T12:T27,C20,B1:R1,A2:A18)</f>
        <v>0.88805312915379175</v>
      </c>
      <c r="C2">
        <v>0.83421906457895056</v>
      </c>
      <c r="D2">
        <v>0.7795267510161612</v>
      </c>
      <c r="E2">
        <v>0.72586256564013674</v>
      </c>
      <c r="F2">
        <v>0.67506187156028197</v>
      </c>
      <c r="G2">
        <v>0.63097432025128175</v>
      </c>
      <c r="H2">
        <v>0.59445256851112849</v>
      </c>
      <c r="I2">
        <v>0.56390151484833417</v>
      </c>
      <c r="J2">
        <v>0.53723929878399712</v>
      </c>
      <c r="K2">
        <v>0.51222405449153263</v>
      </c>
      <c r="L2">
        <v>0.48740963483769251</v>
      </c>
      <c r="M2">
        <v>0.46375583358726868</v>
      </c>
      <c r="N2">
        <v>0.44337172786108148</v>
      </c>
      <c r="O2">
        <v>0.42406857168110385</v>
      </c>
      <c r="P2">
        <v>0.40773256951640202</v>
      </c>
      <c r="Q2">
        <v>0.39221788447080946</v>
      </c>
      <c r="R2">
        <v>0.37636471319577974</v>
      </c>
    </row>
    <row r="3" spans="1:18" x14ac:dyDescent="0.3">
      <c r="A3" s="29">
        <v>2</v>
      </c>
      <c r="B3">
        <v>0.84275792094837665</v>
      </c>
      <c r="C3">
        <v>0.79610142231870096</v>
      </c>
      <c r="D3">
        <v>0.74820219729945137</v>
      </c>
      <c r="E3">
        <v>0.70038284371477011</v>
      </c>
      <c r="F3">
        <v>0.65675152650485957</v>
      </c>
      <c r="G3">
        <v>0.61933653991201842</v>
      </c>
      <c r="H3">
        <v>0.58776820514906591</v>
      </c>
      <c r="I3">
        <v>0.5607967650832627</v>
      </c>
      <c r="J3">
        <v>0.53697255188779158</v>
      </c>
      <c r="K3">
        <v>0.51456749910856858</v>
      </c>
      <c r="L3">
        <v>0.49226997962313684</v>
      </c>
      <c r="M3">
        <v>0.47007842767929869</v>
      </c>
      <c r="N3">
        <v>0.45071897624611895</v>
      </c>
      <c r="O3">
        <v>0.43551651962786081</v>
      </c>
      <c r="P3">
        <v>0.42247590155439163</v>
      </c>
      <c r="Q3">
        <v>0.40859136155251741</v>
      </c>
      <c r="R3">
        <v>0.39389173192444182</v>
      </c>
    </row>
    <row r="4" spans="1:18" x14ac:dyDescent="0.3">
      <c r="A4" s="29">
        <v>4</v>
      </c>
      <c r="B4">
        <v>0.79751635330470849</v>
      </c>
      <c r="C4">
        <v>0.75781224092328547</v>
      </c>
      <c r="D4">
        <v>0.71688083196182339</v>
      </c>
      <c r="E4">
        <v>0.67477722876657353</v>
      </c>
      <c r="F4">
        <v>0.63862849361673046</v>
      </c>
      <c r="G4">
        <v>0.60785174446584778</v>
      </c>
      <c r="H4">
        <v>0.58111426422371704</v>
      </c>
      <c r="I4">
        <v>0.5577020156524215</v>
      </c>
      <c r="J4">
        <v>0.53665607257325265</v>
      </c>
      <c r="K4">
        <v>0.51676057241947737</v>
      </c>
      <c r="L4">
        <v>0.49705849419882958</v>
      </c>
      <c r="M4">
        <v>0.47666963571500648</v>
      </c>
      <c r="N4">
        <v>0.45781154022821302</v>
      </c>
      <c r="O4">
        <v>0.44721647015994487</v>
      </c>
      <c r="P4">
        <v>0.43715760649565483</v>
      </c>
      <c r="Q4">
        <v>0.42487119553560143</v>
      </c>
      <c r="R4">
        <v>0.41143990604244374</v>
      </c>
    </row>
    <row r="5" spans="1:18" x14ac:dyDescent="0.3">
      <c r="A5" s="29">
        <v>6</v>
      </c>
      <c r="B5">
        <v>0.75245973718388304</v>
      </c>
      <c r="C5">
        <v>0.71901964849418187</v>
      </c>
      <c r="D5">
        <v>0.68539174543760639</v>
      </c>
      <c r="E5">
        <v>0.64904981969133646</v>
      </c>
      <c r="F5">
        <v>0.62102995837753061</v>
      </c>
      <c r="G5">
        <v>0.59672792370246031</v>
      </c>
      <c r="H5">
        <v>0.57453366259017569</v>
      </c>
      <c r="I5">
        <v>0.55464466680424485</v>
      </c>
      <c r="J5">
        <v>0.53621410096382061</v>
      </c>
      <c r="K5">
        <v>0.51857102428249102</v>
      </c>
      <c r="L5">
        <v>0.5015328671849405</v>
      </c>
      <c r="M5">
        <v>0.48388564905462012</v>
      </c>
      <c r="N5">
        <v>0.46460223856532018</v>
      </c>
      <c r="O5">
        <v>0.45948358862537458</v>
      </c>
      <c r="P5">
        <v>0.45152639519500332</v>
      </c>
      <c r="Q5">
        <v>0.4409146022386885</v>
      </c>
      <c r="R5">
        <v>0.42908133404076293</v>
      </c>
    </row>
    <row r="6" spans="1:18" x14ac:dyDescent="0.3">
      <c r="A6" s="29">
        <v>8</v>
      </c>
      <c r="B6">
        <v>0.70779608958324824</v>
      </c>
      <c r="C6">
        <v>0.68013743022749029</v>
      </c>
      <c r="D6">
        <v>0.65312203066532104</v>
      </c>
      <c r="E6">
        <v>0.62368658690520073</v>
      </c>
      <c r="F6">
        <v>0.60433997095913095</v>
      </c>
      <c r="G6">
        <v>0.58613439992077887</v>
      </c>
      <c r="H6">
        <v>0.56808462266233561</v>
      </c>
      <c r="I6">
        <v>0.55166817731141837</v>
      </c>
      <c r="J6">
        <v>0.53555469958453195</v>
      </c>
      <c r="K6">
        <v>0.51976180338109379</v>
      </c>
      <c r="L6">
        <v>0.50525717811060722</v>
      </c>
      <c r="M6">
        <v>0.49180048911078728</v>
      </c>
      <c r="N6">
        <v>0.47500685517270697</v>
      </c>
      <c r="O6">
        <v>0.47232284878999342</v>
      </c>
      <c r="P6">
        <v>0.46509057710334967</v>
      </c>
      <c r="Q6">
        <v>0.45657490936975215</v>
      </c>
      <c r="R6">
        <v>0.4469596693186968</v>
      </c>
    </row>
    <row r="7" spans="1:18" x14ac:dyDescent="0.3">
      <c r="A7" s="29">
        <v>10</v>
      </c>
      <c r="B7">
        <v>0.66374516589808219</v>
      </c>
      <c r="C7">
        <v>0.64172552094155744</v>
      </c>
      <c r="D7">
        <v>0.61861113711817639</v>
      </c>
      <c r="E7">
        <v>0.60015102113155083</v>
      </c>
      <c r="F7">
        <v>0.58875544498854138</v>
      </c>
      <c r="G7">
        <v>0.57612752386725574</v>
      </c>
      <c r="H7">
        <v>0.56189063730061661</v>
      </c>
      <c r="I7">
        <v>0.54880501253447567</v>
      </c>
      <c r="J7">
        <v>0.53455540775972887</v>
      </c>
      <c r="K7">
        <v>0.52016032158884717</v>
      </c>
      <c r="L7">
        <v>0.50778382842432179</v>
      </c>
      <c r="M7">
        <v>0.49943642203149635</v>
      </c>
      <c r="N7">
        <v>0.49499144002489681</v>
      </c>
      <c r="O7">
        <v>0.48466502141937834</v>
      </c>
      <c r="P7">
        <v>0.47728038790161587</v>
      </c>
      <c r="Q7">
        <v>0.47171867270193574</v>
      </c>
      <c r="R7">
        <v>0.465294907478143</v>
      </c>
    </row>
    <row r="8" spans="1:18" x14ac:dyDescent="0.3">
      <c r="A8" s="29">
        <v>12</v>
      </c>
      <c r="B8">
        <v>0.62048651778656383</v>
      </c>
      <c r="C8">
        <v>0.60457551569130175</v>
      </c>
      <c r="D8">
        <v>0.58889000755824217</v>
      </c>
      <c r="E8">
        <v>0.58124765402616829</v>
      </c>
      <c r="F8">
        <v>0.57397563585661515</v>
      </c>
      <c r="G8">
        <v>0.56660972195987991</v>
      </c>
      <c r="H8">
        <v>0.55625069326613319</v>
      </c>
      <c r="I8">
        <v>0.54600338919751967</v>
      </c>
      <c r="J8">
        <v>0.53303438509437306</v>
      </c>
      <c r="K8">
        <v>0.51966949228380022</v>
      </c>
      <c r="L8">
        <v>0.50892425373374073</v>
      </c>
      <c r="M8">
        <v>0.50445124810832664</v>
      </c>
      <c r="N8">
        <v>0.51092770917717556</v>
      </c>
      <c r="O8">
        <v>0.49407070464683944</v>
      </c>
      <c r="P8">
        <v>0.48771862861619203</v>
      </c>
      <c r="Q8">
        <v>0.48615521372163573</v>
      </c>
      <c r="R8">
        <v>0.48437576739084015</v>
      </c>
    </row>
    <row r="9" spans="1:18" x14ac:dyDescent="0.3">
      <c r="A9" s="29">
        <v>14</v>
      </c>
      <c r="B9">
        <v>0.57826811808605072</v>
      </c>
      <c r="C9">
        <v>0.56905127543348621</v>
      </c>
      <c r="D9">
        <v>0.56150965041439382</v>
      </c>
      <c r="E9">
        <v>0.56076160929488916</v>
      </c>
      <c r="F9">
        <v>0.55920478243202965</v>
      </c>
      <c r="G9">
        <v>0.55728736763458175</v>
      </c>
      <c r="H9">
        <v>0.55178099413593396</v>
      </c>
      <c r="I9">
        <v>0.54300316524830461</v>
      </c>
      <c r="J9">
        <v>0.53073819270654943</v>
      </c>
      <c r="K9">
        <v>0.51820182763382339</v>
      </c>
      <c r="L9">
        <v>0.50862346190594654</v>
      </c>
      <c r="M9">
        <v>0.50510634254533671</v>
      </c>
      <c r="N9">
        <v>0.50802443601784064</v>
      </c>
      <c r="O9">
        <v>0.4987218771342089</v>
      </c>
      <c r="P9">
        <v>0.49612598162175103</v>
      </c>
      <c r="Q9">
        <v>0.49947216526735427</v>
      </c>
      <c r="R9">
        <v>0.50454484605503558</v>
      </c>
    </row>
    <row r="10" spans="1:18" x14ac:dyDescent="0.3">
      <c r="A10" s="29">
        <v>16</v>
      </c>
      <c r="B10">
        <v>0.53732384626126306</v>
      </c>
      <c r="C10">
        <v>0.53504215070758898</v>
      </c>
      <c r="D10">
        <v>0.53498922910783431</v>
      </c>
      <c r="E10">
        <v>0.53950526547284938</v>
      </c>
      <c r="F10">
        <v>0.54379931033222006</v>
      </c>
      <c r="G10">
        <v>0.54749158067154369</v>
      </c>
      <c r="H10">
        <v>0.54725909919248528</v>
      </c>
      <c r="I10">
        <v>0.53922174638541143</v>
      </c>
      <c r="J10">
        <v>0.5273702834867896</v>
      </c>
      <c r="K10">
        <v>0.51563002507577516</v>
      </c>
      <c r="L10">
        <v>0.50676241986392823</v>
      </c>
      <c r="M10">
        <v>0.50209809092552726</v>
      </c>
      <c r="N10">
        <v>0.4984410587883451</v>
      </c>
      <c r="O10">
        <v>0.49927268388472379</v>
      </c>
      <c r="P10">
        <v>0.50217865586851207</v>
      </c>
      <c r="Q10">
        <v>0.5109308649270583</v>
      </c>
      <c r="R10">
        <v>0.52371218413046361</v>
      </c>
    </row>
    <row r="11" spans="1:18" x14ac:dyDescent="0.3">
      <c r="A11" s="29">
        <v>18</v>
      </c>
      <c r="B11">
        <v>0.4977828806748299</v>
      </c>
      <c r="C11">
        <v>0.50222229526354734</v>
      </c>
      <c r="D11">
        <v>0.50864295305408258</v>
      </c>
      <c r="E11">
        <v>0.51778784062945304</v>
      </c>
      <c r="F11">
        <v>0.52734543071058249</v>
      </c>
      <c r="G11">
        <v>0.53633186372102104</v>
      </c>
      <c r="H11">
        <v>0.54149589219183891</v>
      </c>
      <c r="I11">
        <v>0.53386207334565239</v>
      </c>
      <c r="J11">
        <v>0.52263325777858427</v>
      </c>
      <c r="K11">
        <v>0.51183466609985107</v>
      </c>
      <c r="L11">
        <v>0.50339267456546066</v>
      </c>
      <c r="M11">
        <v>0.49731224331034329</v>
      </c>
      <c r="N11">
        <v>0.49198806692285757</v>
      </c>
      <c r="O11">
        <v>0.49760801364789808</v>
      </c>
      <c r="P11">
        <v>0.50576854766937351</v>
      </c>
      <c r="Q11">
        <v>0.51963708248409612</v>
      </c>
      <c r="R11">
        <v>0.5396799162054795</v>
      </c>
    </row>
    <row r="12" spans="1:18" x14ac:dyDescent="0.3">
      <c r="A12" s="29">
        <v>20</v>
      </c>
      <c r="B12">
        <v>0.4596351013172601</v>
      </c>
      <c r="C12">
        <v>0.47025889972274032</v>
      </c>
      <c r="D12">
        <v>0.48223072751123575</v>
      </c>
      <c r="E12">
        <v>0.49564285493060373</v>
      </c>
      <c r="F12">
        <v>0.50961330436325869</v>
      </c>
      <c r="G12">
        <v>0.52295254082147469</v>
      </c>
      <c r="H12">
        <v>0.53281032684341545</v>
      </c>
      <c r="I12">
        <v>0.52613117728192149</v>
      </c>
      <c r="J12">
        <v>0.51630245754214821</v>
      </c>
      <c r="K12">
        <v>0.50678575879857723</v>
      </c>
      <c r="L12">
        <v>0.49884868562747514</v>
      </c>
      <c r="M12">
        <v>0.4922172160171947</v>
      </c>
      <c r="N12">
        <v>0.48750079142873759</v>
      </c>
      <c r="O12">
        <v>0.49522611763990232</v>
      </c>
      <c r="P12">
        <v>0.50713686690706161</v>
      </c>
      <c r="Q12">
        <v>0.52483483667275044</v>
      </c>
      <c r="R12">
        <v>0.54999835748438519</v>
      </c>
    </row>
    <row r="13" spans="1:18" x14ac:dyDescent="0.3">
      <c r="A13" s="29">
        <v>22</v>
      </c>
      <c r="B13">
        <v>0.42274656047894993</v>
      </c>
      <c r="C13">
        <v>0.43889654574522274</v>
      </c>
      <c r="D13">
        <v>0.45570336485377311</v>
      </c>
      <c r="E13">
        <v>0.47302084931079091</v>
      </c>
      <c r="F13">
        <v>0.49051480382967089</v>
      </c>
      <c r="G13">
        <v>0.50685569821814314</v>
      </c>
      <c r="H13">
        <v>0.5183852135207917</v>
      </c>
      <c r="I13">
        <v>0.51555969122129364</v>
      </c>
      <c r="J13">
        <v>0.50828440250977247</v>
      </c>
      <c r="K13">
        <v>0.50057339977204862</v>
      </c>
      <c r="L13">
        <v>0.49356555426356308</v>
      </c>
      <c r="M13">
        <v>0.48754435200995866</v>
      </c>
      <c r="N13">
        <v>0.4849765260671558</v>
      </c>
      <c r="O13">
        <v>0.49290206274485016</v>
      </c>
      <c r="P13">
        <v>0.50669364317576493</v>
      </c>
      <c r="Q13">
        <v>0.52618318354105842</v>
      </c>
      <c r="R13">
        <v>0.55183192948981663</v>
      </c>
    </row>
    <row r="14" spans="1:18" x14ac:dyDescent="0.3">
      <c r="A14" s="29">
        <v>24</v>
      </c>
      <c r="B14">
        <v>0.38689905861385748</v>
      </c>
      <c r="C14">
        <v>0.40795829993699678</v>
      </c>
      <c r="D14">
        <v>0.42907256794776472</v>
      </c>
      <c r="E14">
        <v>0.44989158704013787</v>
      </c>
      <c r="F14">
        <v>0.47006559555387312</v>
      </c>
      <c r="G14">
        <v>0.48818125013659808</v>
      </c>
      <c r="H14">
        <v>0.50067762105155278</v>
      </c>
      <c r="I14">
        <v>0.50229860908026081</v>
      </c>
      <c r="J14">
        <v>0.49862273657613665</v>
      </c>
      <c r="K14">
        <v>0.49338403728210473</v>
      </c>
      <c r="L14">
        <v>0.48792316522027501</v>
      </c>
      <c r="M14">
        <v>0.48340516523271193</v>
      </c>
      <c r="N14">
        <v>0.48306382509303653</v>
      </c>
      <c r="O14">
        <v>0.4907947830227205</v>
      </c>
      <c r="P14">
        <v>0.50484412275061752</v>
      </c>
      <c r="Q14">
        <v>0.5239126717366428</v>
      </c>
      <c r="R14">
        <v>0.54711397532589412</v>
      </c>
    </row>
    <row r="15" spans="1:18" x14ac:dyDescent="0.3">
      <c r="A15" s="29">
        <v>26</v>
      </c>
      <c r="B15">
        <v>0.35183334406079814</v>
      </c>
      <c r="C15">
        <v>0.37731741655007039</v>
      </c>
      <c r="D15">
        <v>0.40236179133383021</v>
      </c>
      <c r="E15">
        <v>0.42628703982037286</v>
      </c>
      <c r="F15">
        <v>0.44842689527761631</v>
      </c>
      <c r="G15">
        <v>0.46743694452496765</v>
      </c>
      <c r="H15">
        <v>0.48092906015663145</v>
      </c>
      <c r="I15">
        <v>0.48686712595058451</v>
      </c>
      <c r="J15">
        <v>0.48754080245656939</v>
      </c>
      <c r="K15">
        <v>0.48545758116744703</v>
      </c>
      <c r="L15">
        <v>0.48216495030476919</v>
      </c>
      <c r="M15">
        <v>0.47962534130117085</v>
      </c>
      <c r="N15">
        <v>0.48114044933486488</v>
      </c>
      <c r="O15">
        <v>0.48878451034296483</v>
      </c>
      <c r="P15">
        <v>0.50195421881500701</v>
      </c>
      <c r="Q15">
        <v>0.51866762810916112</v>
      </c>
      <c r="R15">
        <v>0.53739288774777272</v>
      </c>
    </row>
    <row r="16" spans="1:18" x14ac:dyDescent="0.3">
      <c r="A16" s="29">
        <v>28</v>
      </c>
      <c r="B16">
        <v>0.31728672599061103</v>
      </c>
      <c r="C16">
        <v>0.34687248122980524</v>
      </c>
      <c r="D16">
        <v>0.37559445743097791</v>
      </c>
      <c r="E16">
        <v>0.40230565320898137</v>
      </c>
      <c r="F16">
        <v>0.42589414289167554</v>
      </c>
      <c r="G16">
        <v>0.44523647742398581</v>
      </c>
      <c r="H16">
        <v>0.45970387770871696</v>
      </c>
      <c r="I16">
        <v>0.46989971746218134</v>
      </c>
      <c r="J16">
        <v>0.4754115290989494</v>
      </c>
      <c r="K16">
        <v>0.47704491684052946</v>
      </c>
      <c r="L16">
        <v>0.47640504489098129</v>
      </c>
      <c r="M16">
        <v>0.47598920017806101</v>
      </c>
      <c r="N16">
        <v>0.47893725677691457</v>
      </c>
      <c r="O16">
        <v>0.48672305509184305</v>
      </c>
      <c r="P16">
        <v>0.49836404968449771</v>
      </c>
      <c r="Q16">
        <v>0.51129527325504087</v>
      </c>
      <c r="R16">
        <v>0.52395876234790584</v>
      </c>
    </row>
    <row r="17" spans="1:18" x14ac:dyDescent="0.3">
      <c r="A17" s="29">
        <v>30</v>
      </c>
      <c r="B17">
        <v>0.28302399468072975</v>
      </c>
      <c r="C17">
        <v>0.31653706280195082</v>
      </c>
      <c r="D17">
        <v>0.34879316604199007</v>
      </c>
      <c r="E17">
        <v>0.37808825691648085</v>
      </c>
      <c r="F17">
        <v>0.40282801042590194</v>
      </c>
      <c r="G17">
        <v>0.42217154417540015</v>
      </c>
      <c r="H17">
        <v>0.43729605953226325</v>
      </c>
      <c r="I17">
        <v>0.45201724481102301</v>
      </c>
      <c r="J17">
        <v>0.46266784565561164</v>
      </c>
      <c r="K17">
        <v>0.46837099576311247</v>
      </c>
      <c r="L17">
        <v>0.47067388036874863</v>
      </c>
      <c r="M17">
        <v>0.47235777802867768</v>
      </c>
      <c r="N17">
        <v>0.47635245174393276</v>
      </c>
      <c r="O17">
        <v>0.48454839272632561</v>
      </c>
      <c r="P17">
        <v>0.49438560266439346</v>
      </c>
      <c r="Q17">
        <v>0.50267282776238509</v>
      </c>
      <c r="R17">
        <v>0.50797595407221829</v>
      </c>
    </row>
    <row r="18" spans="1:18" x14ac:dyDescent="0.3">
      <c r="A18" s="29">
        <v>32</v>
      </c>
      <c r="B18">
        <v>0.24886392659846432</v>
      </c>
      <c r="C18">
        <v>0.28624243148895201</v>
      </c>
      <c r="D18">
        <v>0.32197832473758592</v>
      </c>
      <c r="E18">
        <v>0.35377640086482176</v>
      </c>
      <c r="F18">
        <v>0.37955825303777857</v>
      </c>
      <c r="G18">
        <v>0.39875683057011407</v>
      </c>
      <c r="H18">
        <v>0.41406308153308341</v>
      </c>
      <c r="I18">
        <v>0.43376443970514805</v>
      </c>
      <c r="J18">
        <v>0.44969270877998174</v>
      </c>
      <c r="K18">
        <v>0.45960501172672497</v>
      </c>
      <c r="L18">
        <v>0.46496172643119615</v>
      </c>
      <c r="M18">
        <v>0.4686962381227443</v>
      </c>
      <c r="N18">
        <v>0.47343776267583298</v>
      </c>
      <c r="O18">
        <v>0.48229740006972616</v>
      </c>
      <c r="P18">
        <v>0.49026792731973123</v>
      </c>
      <c r="Q18">
        <v>0.49356340609846899</v>
      </c>
      <c r="R18">
        <v>0.49062555127149032</v>
      </c>
    </row>
    <row r="20" spans="1:18" x14ac:dyDescent="0.3">
      <c r="A20" t="s">
        <v>27</v>
      </c>
      <c r="C20">
        <v>0.2</v>
      </c>
    </row>
    <row r="21" spans="1:18" x14ac:dyDescent="0.3">
      <c r="A21" t="s">
        <v>32</v>
      </c>
    </row>
    <row r="23" spans="1:18" x14ac:dyDescent="0.3">
      <c r="A23" t="s">
        <v>28</v>
      </c>
    </row>
    <row r="25" spans="1:18" x14ac:dyDescent="0.3">
      <c r="A25" s="31"/>
    </row>
  </sheetData>
  <conditionalFormatting sqref="B2:R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FE82CF49-5D82-4B84-9638-12D9052C783A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322E36A-BF12-467F-A5C2-5C2D2B5826A0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SSC1</vt:lpstr>
      <vt:lpstr>DSIFT1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2018-10-19T18:59:36Z</dcterms:modified>
</cp:coreProperties>
</file>